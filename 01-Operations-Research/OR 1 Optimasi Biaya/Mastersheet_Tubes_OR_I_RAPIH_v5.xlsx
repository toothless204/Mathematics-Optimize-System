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nf3\Downloads\Portofolio\OR 1 Optimasi Biaya\"/>
    </mc:Choice>
  </mc:AlternateContent>
  <xr:revisionPtr revIDLastSave="0" documentId="11_8A0AA001067F5CA1AF40276202C1694D213FC3F7" xr6:coauthVersionLast="47" xr6:coauthVersionMax="47" xr10:uidLastSave="{00000000-0000-0000-0000-000000000000}"/>
  <bookViews>
    <workbookView xWindow="-110" yWindow="-110" windowWidth="29020" windowHeight="15700" tabRatio="500" activeTab="13" xr2:uid="{00000000-000D-0000-FFFF-FFFF00000000}"/>
  </bookViews>
  <sheets>
    <sheet name="⚙️ Parameter Global" sheetId="1" r:id="rId1"/>
    <sheet name="📘 Model Matematis" sheetId="2" r:id="rId2"/>
    <sheet name="✅ Verifikasi vs Gurobi" sheetId="3" r:id="rId3"/>
    <sheet name="Penjelasan Gurobi (Kode)" sheetId="4" r:id="rId4"/>
    <sheet name="🐍 Kode First Mile" sheetId="5" r:id="rId5"/>
    <sheet name="🐍 Kode Middle Mile" sheetId="6" r:id="rId6"/>
    <sheet name="Volume Container" sheetId="7" r:id="rId7"/>
    <sheet name="Sulawesi" sheetId="8" r:id="rId8"/>
    <sheet name="Kalimantan" sheetId="9" r:id="rId9"/>
    <sheet name="BaliNusra" sheetId="10" r:id="rId10"/>
    <sheet name="Rate T&amp;W" sheetId="11" r:id="rId11"/>
    <sheet name="Total Biaya First Mile" sheetId="12" r:id="rId12"/>
    <sheet name="Biaya Variable KendaraanTrip ti" sheetId="13" r:id="rId13"/>
    <sheet name="Biaya Penambahan Vehicle" sheetId="14" r:id="rId14"/>
    <sheet name="Jumlah Trip Maksimal" sheetId="15" r:id="rId15"/>
    <sheet name="(SRP Usulan) Jarak Tempuh Middl" sheetId="16" r:id="rId16"/>
    <sheet name="(agoy fadli) Total Permintaan M" sheetId="17" r:id="rId17"/>
    <sheet name="Total Pengiriman" sheetId="18" r:id="rId18"/>
    <sheet name="Total Biaya Middle Mile" sheetId="19" r:id="rId19"/>
    <sheet name="Biaya Driver" sheetId="20" r:id="rId20"/>
    <sheet name="Kapasitas Inventori(ini rada su" sheetId="21" r:id="rId21"/>
    <sheet name="Biaya Staff" sheetId="22" r:id="rId22"/>
  </sheets>
  <definedNames>
    <definedName name="Harga_Biosolar">'⚙️ Parameter Global'!$C$16</definedName>
    <definedName name="Harga_Pertalite">'⚙️ Parameter Global'!$C$17</definedName>
    <definedName name="HariKerja_PerBulan">'⚙️ Parameter Global'!$C$7</definedName>
    <definedName name="JamKerja_PerBulan">'⚙️ Parameter Global'!$C$9</definedName>
    <definedName name="JamKerja_PerHari">'⚙️ Parameter Global'!$C$8</definedName>
    <definedName name="Kecepatan_Kendaraan">'⚙️ Parameter Global'!$C$10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22" l="1"/>
  <c r="D28" i="22"/>
  <c r="E28" i="22" s="1"/>
  <c r="G28" i="22" s="1"/>
  <c r="H28" i="22" s="1"/>
  <c r="F27" i="22"/>
  <c r="D27" i="22"/>
  <c r="E27" i="22" s="1"/>
  <c r="G27" i="22" s="1"/>
  <c r="H27" i="22" s="1"/>
  <c r="F26" i="22"/>
  <c r="E26" i="22"/>
  <c r="G26" i="22" s="1"/>
  <c r="H26" i="22" s="1"/>
  <c r="O13" i="19" s="1"/>
  <c r="D26" i="22"/>
  <c r="F25" i="22"/>
  <c r="E25" i="22"/>
  <c r="G25" i="22" s="1"/>
  <c r="H25" i="22" s="1"/>
  <c r="O12" i="19" s="1"/>
  <c r="P12" i="19" s="1"/>
  <c r="D25" i="22"/>
  <c r="F24" i="22"/>
  <c r="D24" i="22"/>
  <c r="E24" i="22" s="1"/>
  <c r="G24" i="22" s="1"/>
  <c r="H24" i="22" s="1"/>
  <c r="F23" i="22"/>
  <c r="D23" i="22"/>
  <c r="E23" i="22" s="1"/>
  <c r="G23" i="22" s="1"/>
  <c r="H23" i="22" s="1"/>
  <c r="F22" i="22"/>
  <c r="E22" i="22"/>
  <c r="G22" i="22" s="1"/>
  <c r="H22" i="22" s="1"/>
  <c r="D22" i="22"/>
  <c r="F21" i="22"/>
  <c r="D21" i="22"/>
  <c r="E21" i="22" s="1"/>
  <c r="G21" i="22" s="1"/>
  <c r="H21" i="22" s="1"/>
  <c r="G20" i="22"/>
  <c r="H20" i="22" s="1"/>
  <c r="O16" i="19" s="1"/>
  <c r="F20" i="22"/>
  <c r="E20" i="22"/>
  <c r="D20" i="22"/>
  <c r="F19" i="22"/>
  <c r="D19" i="22"/>
  <c r="E19" i="22" s="1"/>
  <c r="G19" i="22" s="1"/>
  <c r="H19" i="22" s="1"/>
  <c r="F18" i="22"/>
  <c r="E18" i="22"/>
  <c r="G18" i="22" s="1"/>
  <c r="H18" i="22" s="1"/>
  <c r="D18" i="22"/>
  <c r="F17" i="22"/>
  <c r="E17" i="22"/>
  <c r="G17" i="22" s="1"/>
  <c r="H17" i="22" s="1"/>
  <c r="D17" i="22"/>
  <c r="F16" i="22"/>
  <c r="D16" i="22"/>
  <c r="E16" i="22" s="1"/>
  <c r="G16" i="22" s="1"/>
  <c r="H16" i="22" s="1"/>
  <c r="F15" i="22"/>
  <c r="D15" i="22"/>
  <c r="E15" i="22" s="1"/>
  <c r="G15" i="22" s="1"/>
  <c r="H15" i="22" s="1"/>
  <c r="O8" i="19" s="1"/>
  <c r="F14" i="22"/>
  <c r="E14" i="22"/>
  <c r="G14" i="22" s="1"/>
  <c r="H14" i="22" s="1"/>
  <c r="D14" i="22"/>
  <c r="F13" i="22"/>
  <c r="E13" i="22"/>
  <c r="G13" i="22" s="1"/>
  <c r="H13" i="22" s="1"/>
  <c r="O7" i="19" s="1"/>
  <c r="D13" i="22"/>
  <c r="F12" i="22"/>
  <c r="D12" i="22"/>
  <c r="E12" i="22" s="1"/>
  <c r="G12" i="22" s="1"/>
  <c r="H12" i="22" s="1"/>
  <c r="O6" i="19" s="1"/>
  <c r="F11" i="22"/>
  <c r="D11" i="22"/>
  <c r="E11" i="22" s="1"/>
  <c r="G11" i="22" s="1"/>
  <c r="H11" i="22" s="1"/>
  <c r="O5" i="19" s="1"/>
  <c r="F10" i="22"/>
  <c r="E10" i="22"/>
  <c r="G10" i="22" s="1"/>
  <c r="H10" i="22" s="1"/>
  <c r="D10" i="22"/>
  <c r="F9" i="22"/>
  <c r="D9" i="22"/>
  <c r="E9" i="22" s="1"/>
  <c r="G9" i="22" s="1"/>
  <c r="H9" i="22" s="1"/>
  <c r="O3" i="19" s="1"/>
  <c r="G8" i="22"/>
  <c r="H8" i="22" s="1"/>
  <c r="O14" i="19" s="1"/>
  <c r="F8" i="22"/>
  <c r="E8" i="22"/>
  <c r="D8" i="22"/>
  <c r="F7" i="22"/>
  <c r="D7" i="22"/>
  <c r="E7" i="22" s="1"/>
  <c r="G7" i="22" s="1"/>
  <c r="H7" i="22" s="1"/>
  <c r="O11" i="19" s="1"/>
  <c r="F6" i="22"/>
  <c r="E6" i="22"/>
  <c r="G6" i="22" s="1"/>
  <c r="H6" i="22" s="1"/>
  <c r="O10" i="19" s="1"/>
  <c r="D6" i="22"/>
  <c r="F5" i="22"/>
  <c r="D5" i="22"/>
  <c r="E5" i="22" s="1"/>
  <c r="G5" i="22" s="1"/>
  <c r="H5" i="22" s="1"/>
  <c r="O15" i="19" s="1"/>
  <c r="F4" i="22"/>
  <c r="D4" i="22"/>
  <c r="E4" i="22" s="1"/>
  <c r="G4" i="22" s="1"/>
  <c r="H4" i="22" s="1"/>
  <c r="O4" i="19" s="1"/>
  <c r="F3" i="22"/>
  <c r="D3" i="22"/>
  <c r="E3" i="22" s="1"/>
  <c r="G3" i="22" s="1"/>
  <c r="H3" i="22" s="1"/>
  <c r="O9" i="19" s="1"/>
  <c r="F2" i="22"/>
  <c r="E2" i="22"/>
  <c r="G2" i="22" s="1"/>
  <c r="D2" i="22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M16" i="21"/>
  <c r="F16" i="21"/>
  <c r="M15" i="21"/>
  <c r="G15" i="21"/>
  <c r="F15" i="21"/>
  <c r="M14" i="21"/>
  <c r="F14" i="21"/>
  <c r="M13" i="21"/>
  <c r="J13" i="21"/>
  <c r="F13" i="21"/>
  <c r="M12" i="21"/>
  <c r="J12" i="21"/>
  <c r="F12" i="21"/>
  <c r="M11" i="21"/>
  <c r="J11" i="21"/>
  <c r="F11" i="21"/>
  <c r="M10" i="21"/>
  <c r="J10" i="21"/>
  <c r="F10" i="21"/>
  <c r="M9" i="21"/>
  <c r="J9" i="21"/>
  <c r="F9" i="21"/>
  <c r="M8" i="21"/>
  <c r="J8" i="21"/>
  <c r="F8" i="21"/>
  <c r="P7" i="21"/>
  <c r="M7" i="21"/>
  <c r="J7" i="21"/>
  <c r="F7" i="21"/>
  <c r="P6" i="21"/>
  <c r="M6" i="21"/>
  <c r="J6" i="21"/>
  <c r="F6" i="21"/>
  <c r="P5" i="21"/>
  <c r="M5" i="21"/>
  <c r="J5" i="21"/>
  <c r="F5" i="21"/>
  <c r="P4" i="21"/>
  <c r="M4" i="21"/>
  <c r="J4" i="21"/>
  <c r="F4" i="21"/>
  <c r="F59" i="19"/>
  <c r="S58" i="19"/>
  <c r="S57" i="19"/>
  <c r="I57" i="19"/>
  <c r="S56" i="19"/>
  <c r="S55" i="19"/>
  <c r="S54" i="19"/>
  <c r="S53" i="19"/>
  <c r="S52" i="19"/>
  <c r="S51" i="19"/>
  <c r="S50" i="19"/>
  <c r="S49" i="19"/>
  <c r="S48" i="19"/>
  <c r="S47" i="19"/>
  <c r="S46" i="19"/>
  <c r="I46" i="19"/>
  <c r="S45" i="19"/>
  <c r="S44" i="19"/>
  <c r="I44" i="19"/>
  <c r="S43" i="19"/>
  <c r="S42" i="19"/>
  <c r="S41" i="19"/>
  <c r="S40" i="19"/>
  <c r="I40" i="19"/>
  <c r="N13" i="19" s="1"/>
  <c r="P13" i="19" s="1"/>
  <c r="S39" i="19"/>
  <c r="S38" i="19"/>
  <c r="S37" i="19"/>
  <c r="S36" i="19"/>
  <c r="I36" i="19"/>
  <c r="S35" i="19"/>
  <c r="S34" i="19"/>
  <c r="S33" i="19"/>
  <c r="S32" i="19"/>
  <c r="I31" i="19"/>
  <c r="I25" i="19"/>
  <c r="I21" i="19"/>
  <c r="I19" i="19"/>
  <c r="M17" i="19"/>
  <c r="N16" i="19"/>
  <c r="L16" i="19"/>
  <c r="P16" i="19" s="1"/>
  <c r="N15" i="19"/>
  <c r="L15" i="19"/>
  <c r="P15" i="19" s="1"/>
  <c r="I15" i="19"/>
  <c r="N14" i="19"/>
  <c r="P14" i="19" s="1"/>
  <c r="L14" i="19"/>
  <c r="L13" i="19"/>
  <c r="I13" i="19"/>
  <c r="N6" i="19" s="1"/>
  <c r="N12" i="19"/>
  <c r="L12" i="19"/>
  <c r="N11" i="19"/>
  <c r="L11" i="19"/>
  <c r="I11" i="19"/>
  <c r="N10" i="19"/>
  <c r="L10" i="19"/>
  <c r="P10" i="19" s="1"/>
  <c r="N9" i="19"/>
  <c r="L9" i="19"/>
  <c r="P9" i="19" s="1"/>
  <c r="N8" i="19"/>
  <c r="L8" i="19"/>
  <c r="N7" i="19"/>
  <c r="L7" i="19"/>
  <c r="P7" i="19" s="1"/>
  <c r="L6" i="19"/>
  <c r="I6" i="19"/>
  <c r="N5" i="19"/>
  <c r="P5" i="19" s="1"/>
  <c r="L5" i="19"/>
  <c r="L4" i="19"/>
  <c r="L3" i="19"/>
  <c r="I2" i="19"/>
  <c r="N3" i="19" s="1"/>
  <c r="A87" i="17"/>
  <c r="A73" i="17"/>
  <c r="A63" i="17"/>
  <c r="A62" i="17"/>
  <c r="A59" i="17"/>
  <c r="A27" i="17"/>
  <c r="A13" i="17"/>
  <c r="A3" i="17"/>
  <c r="A2" i="17"/>
  <c r="F11" i="16"/>
  <c r="G7" i="16"/>
  <c r="H7" i="16" s="1"/>
  <c r="F7" i="16"/>
  <c r="H6" i="16"/>
  <c r="F6" i="16"/>
  <c r="G6" i="16" s="1"/>
  <c r="F5" i="16"/>
  <c r="G5" i="16" s="1"/>
  <c r="H5" i="16" s="1"/>
  <c r="F4" i="16"/>
  <c r="G4" i="16" s="1"/>
  <c r="H4" i="16" s="1"/>
  <c r="G3" i="16"/>
  <c r="H3" i="16" s="1"/>
  <c r="F3" i="16"/>
  <c r="G2" i="16"/>
  <c r="F2" i="16"/>
  <c r="D32" i="15"/>
  <c r="D31" i="15"/>
  <c r="O30" i="15"/>
  <c r="O29" i="15"/>
  <c r="D28" i="15"/>
  <c r="Q25" i="15"/>
  <c r="F25" i="15"/>
  <c r="E25" i="15" s="1"/>
  <c r="G25" i="15" s="1"/>
  <c r="D25" i="15"/>
  <c r="O24" i="15"/>
  <c r="D24" i="15"/>
  <c r="D23" i="15"/>
  <c r="Q22" i="15"/>
  <c r="D22" i="15"/>
  <c r="D20" i="15"/>
  <c r="O19" i="15"/>
  <c r="F18" i="15"/>
  <c r="E18" i="15" s="1"/>
  <c r="G18" i="15" s="1"/>
  <c r="D18" i="15"/>
  <c r="O17" i="15"/>
  <c r="D17" i="15"/>
  <c r="O16" i="15"/>
  <c r="D16" i="15"/>
  <c r="Q15" i="15"/>
  <c r="P15" i="15" s="1"/>
  <c r="O15" i="15"/>
  <c r="D14" i="15"/>
  <c r="Q13" i="15"/>
  <c r="P13" i="15" s="1"/>
  <c r="O13" i="15"/>
  <c r="D13" i="15"/>
  <c r="O12" i="15"/>
  <c r="Q11" i="15"/>
  <c r="P11" i="15" s="1"/>
  <c r="O11" i="15"/>
  <c r="F11" i="15"/>
  <c r="E11" i="15" s="1"/>
  <c r="G11" i="15" s="1"/>
  <c r="O10" i="15"/>
  <c r="O9" i="15"/>
  <c r="Q8" i="15"/>
  <c r="O8" i="15"/>
  <c r="O7" i="15"/>
  <c r="D7" i="15"/>
  <c r="L45" i="13"/>
  <c r="H45" i="13"/>
  <c r="G45" i="13"/>
  <c r="K45" i="13" s="1"/>
  <c r="F45" i="13"/>
  <c r="J45" i="13" s="1"/>
  <c r="E45" i="13"/>
  <c r="I45" i="13" s="1"/>
  <c r="K44" i="13"/>
  <c r="H44" i="13"/>
  <c r="L44" i="13" s="1"/>
  <c r="G44" i="13"/>
  <c r="F44" i="13"/>
  <c r="J44" i="13" s="1"/>
  <c r="E44" i="13"/>
  <c r="I44" i="13" s="1"/>
  <c r="R44" i="13" s="1"/>
  <c r="P43" i="13"/>
  <c r="L43" i="13"/>
  <c r="K43" i="13"/>
  <c r="I43" i="13"/>
  <c r="R43" i="13" s="1"/>
  <c r="H43" i="13"/>
  <c r="G43" i="13"/>
  <c r="F43" i="13"/>
  <c r="J43" i="13" s="1"/>
  <c r="E43" i="13"/>
  <c r="P42" i="13"/>
  <c r="L42" i="13"/>
  <c r="J42" i="13"/>
  <c r="I42" i="13"/>
  <c r="H42" i="13"/>
  <c r="G42" i="13"/>
  <c r="K42" i="13" s="1"/>
  <c r="F42" i="13"/>
  <c r="E42" i="13"/>
  <c r="J41" i="13"/>
  <c r="H41" i="13"/>
  <c r="L41" i="13" s="1"/>
  <c r="G41" i="13"/>
  <c r="K41" i="13" s="1"/>
  <c r="F41" i="13"/>
  <c r="E41" i="13"/>
  <c r="P41" i="13" s="1"/>
  <c r="H40" i="13"/>
  <c r="L40" i="13" s="1"/>
  <c r="G40" i="13"/>
  <c r="K40" i="13" s="1"/>
  <c r="F40" i="13"/>
  <c r="J40" i="13" s="1"/>
  <c r="E40" i="13"/>
  <c r="P40" i="13" s="1"/>
  <c r="L39" i="13"/>
  <c r="H39" i="13"/>
  <c r="G39" i="13"/>
  <c r="K39" i="13" s="1"/>
  <c r="F39" i="13"/>
  <c r="J39" i="13" s="1"/>
  <c r="E39" i="13"/>
  <c r="I39" i="13" s="1"/>
  <c r="H38" i="13"/>
  <c r="L38" i="13" s="1"/>
  <c r="G38" i="13"/>
  <c r="K38" i="13" s="1"/>
  <c r="F38" i="13"/>
  <c r="J38" i="13" s="1"/>
  <c r="E38" i="13"/>
  <c r="I38" i="13" s="1"/>
  <c r="P37" i="13"/>
  <c r="L37" i="13"/>
  <c r="K37" i="13"/>
  <c r="H37" i="13"/>
  <c r="G37" i="13"/>
  <c r="F37" i="13"/>
  <c r="J37" i="13" s="1"/>
  <c r="E37" i="13"/>
  <c r="I37" i="13" s="1"/>
  <c r="R37" i="13" s="1"/>
  <c r="L36" i="13"/>
  <c r="K36" i="13"/>
  <c r="J36" i="13"/>
  <c r="I36" i="13"/>
  <c r="R36" i="13" s="1"/>
  <c r="H36" i="13"/>
  <c r="G36" i="13"/>
  <c r="F36" i="13"/>
  <c r="P36" i="13" s="1"/>
  <c r="E36" i="13"/>
  <c r="K35" i="13"/>
  <c r="J35" i="13"/>
  <c r="I35" i="13"/>
  <c r="H35" i="13"/>
  <c r="L35" i="13" s="1"/>
  <c r="G35" i="13"/>
  <c r="F35" i="13"/>
  <c r="E35" i="13"/>
  <c r="P35" i="13" s="1"/>
  <c r="H34" i="13"/>
  <c r="L34" i="13" s="1"/>
  <c r="G34" i="13"/>
  <c r="K34" i="13" s="1"/>
  <c r="F34" i="13"/>
  <c r="J34" i="13" s="1"/>
  <c r="E34" i="13"/>
  <c r="P34" i="13" s="1"/>
  <c r="L33" i="13"/>
  <c r="I33" i="13"/>
  <c r="R33" i="13" s="1"/>
  <c r="H33" i="13"/>
  <c r="P33" i="13" s="1"/>
  <c r="G33" i="13"/>
  <c r="K33" i="13" s="1"/>
  <c r="F33" i="13"/>
  <c r="J33" i="13" s="1"/>
  <c r="E33" i="13"/>
  <c r="K32" i="13"/>
  <c r="H32" i="13"/>
  <c r="L32" i="13" s="1"/>
  <c r="G32" i="13"/>
  <c r="F32" i="13"/>
  <c r="J32" i="13" s="1"/>
  <c r="E32" i="13"/>
  <c r="I32" i="13" s="1"/>
  <c r="R32" i="13" s="1"/>
  <c r="L31" i="13"/>
  <c r="K31" i="13"/>
  <c r="H31" i="13"/>
  <c r="G31" i="13"/>
  <c r="F31" i="13"/>
  <c r="J31" i="13" s="1"/>
  <c r="E31" i="13"/>
  <c r="P31" i="13" s="1"/>
  <c r="P30" i="13"/>
  <c r="L30" i="13"/>
  <c r="R30" i="13" s="1"/>
  <c r="K30" i="13"/>
  <c r="J30" i="13"/>
  <c r="I30" i="13"/>
  <c r="H30" i="13"/>
  <c r="G30" i="13"/>
  <c r="F30" i="13"/>
  <c r="E30" i="13"/>
  <c r="L29" i="13"/>
  <c r="K29" i="13"/>
  <c r="J29" i="13"/>
  <c r="I29" i="13"/>
  <c r="R29" i="13" s="1"/>
  <c r="H29" i="13"/>
  <c r="P29" i="13" s="1"/>
  <c r="G29" i="13"/>
  <c r="F29" i="13"/>
  <c r="E29" i="13"/>
  <c r="J28" i="13"/>
  <c r="H28" i="13"/>
  <c r="L28" i="13" s="1"/>
  <c r="G28" i="13"/>
  <c r="K28" i="13" s="1"/>
  <c r="F28" i="13"/>
  <c r="E28" i="13"/>
  <c r="P28" i="13" s="1"/>
  <c r="L27" i="13"/>
  <c r="H27" i="13"/>
  <c r="G27" i="13"/>
  <c r="K27" i="13" s="1"/>
  <c r="F27" i="13"/>
  <c r="J27" i="13" s="1"/>
  <c r="E27" i="13"/>
  <c r="P27" i="13" s="1"/>
  <c r="P26" i="13"/>
  <c r="J26" i="13"/>
  <c r="H26" i="13"/>
  <c r="L26" i="13" s="1"/>
  <c r="G26" i="13"/>
  <c r="K26" i="13" s="1"/>
  <c r="F26" i="13"/>
  <c r="E26" i="13"/>
  <c r="I26" i="13" s="1"/>
  <c r="K25" i="13"/>
  <c r="H25" i="13"/>
  <c r="L25" i="13" s="1"/>
  <c r="G25" i="13"/>
  <c r="F25" i="13"/>
  <c r="J25" i="13" s="1"/>
  <c r="E25" i="13"/>
  <c r="P25" i="13" s="1"/>
  <c r="L24" i="13"/>
  <c r="K24" i="13"/>
  <c r="I24" i="13"/>
  <c r="H24" i="13"/>
  <c r="G24" i="13"/>
  <c r="F24" i="13"/>
  <c r="P24" i="13" s="1"/>
  <c r="E24" i="13"/>
  <c r="L23" i="13"/>
  <c r="K23" i="13"/>
  <c r="J23" i="13"/>
  <c r="H23" i="13"/>
  <c r="G23" i="13"/>
  <c r="F23" i="13"/>
  <c r="E23" i="13"/>
  <c r="I23" i="13" s="1"/>
  <c r="R23" i="13" s="1"/>
  <c r="K22" i="13"/>
  <c r="I22" i="13"/>
  <c r="H22" i="13"/>
  <c r="L22" i="13" s="1"/>
  <c r="G22" i="13"/>
  <c r="F22" i="13"/>
  <c r="J22" i="13" s="1"/>
  <c r="E22" i="13"/>
  <c r="H21" i="13"/>
  <c r="L21" i="13" s="1"/>
  <c r="G21" i="13"/>
  <c r="K21" i="13" s="1"/>
  <c r="F21" i="13"/>
  <c r="J21" i="13" s="1"/>
  <c r="E21" i="13"/>
  <c r="I21" i="13" s="1"/>
  <c r="R21" i="13" s="1"/>
  <c r="P20" i="13"/>
  <c r="J20" i="13"/>
  <c r="H20" i="13"/>
  <c r="L20" i="13" s="1"/>
  <c r="G20" i="13"/>
  <c r="K20" i="13" s="1"/>
  <c r="R20" i="13" s="1"/>
  <c r="F20" i="13"/>
  <c r="E20" i="13"/>
  <c r="I20" i="13" s="1"/>
  <c r="K19" i="13"/>
  <c r="I19" i="13"/>
  <c r="H19" i="13"/>
  <c r="P19" i="13" s="1"/>
  <c r="G19" i="13"/>
  <c r="F19" i="13"/>
  <c r="J19" i="13" s="1"/>
  <c r="E19" i="13"/>
  <c r="L18" i="13"/>
  <c r="K18" i="13"/>
  <c r="I18" i="13"/>
  <c r="H18" i="13"/>
  <c r="G18" i="13"/>
  <c r="F18" i="13"/>
  <c r="P18" i="13" s="1"/>
  <c r="E18" i="13"/>
  <c r="K17" i="13"/>
  <c r="J17" i="13"/>
  <c r="H17" i="13"/>
  <c r="L17" i="13" s="1"/>
  <c r="G17" i="13"/>
  <c r="F17" i="13"/>
  <c r="E17" i="13"/>
  <c r="P17" i="13" s="1"/>
  <c r="K16" i="13"/>
  <c r="R16" i="13" s="1"/>
  <c r="J16" i="13"/>
  <c r="I16" i="13"/>
  <c r="H16" i="13"/>
  <c r="L16" i="13" s="1"/>
  <c r="G16" i="13"/>
  <c r="F16" i="13"/>
  <c r="E16" i="13"/>
  <c r="L15" i="13"/>
  <c r="I15" i="13"/>
  <c r="H15" i="13"/>
  <c r="G15" i="13"/>
  <c r="K15" i="13" s="1"/>
  <c r="F15" i="13"/>
  <c r="J15" i="13" s="1"/>
  <c r="E15" i="13"/>
  <c r="H14" i="13"/>
  <c r="L14" i="13" s="1"/>
  <c r="G14" i="13"/>
  <c r="K14" i="13" s="1"/>
  <c r="F14" i="13"/>
  <c r="J14" i="13" s="1"/>
  <c r="E14" i="13"/>
  <c r="I14" i="13" s="1"/>
  <c r="P13" i="13"/>
  <c r="L13" i="13"/>
  <c r="K13" i="13"/>
  <c r="I13" i="13"/>
  <c r="R13" i="13" s="1"/>
  <c r="H13" i="13"/>
  <c r="G13" i="13"/>
  <c r="F13" i="13"/>
  <c r="J13" i="13" s="1"/>
  <c r="E13" i="13"/>
  <c r="P12" i="13"/>
  <c r="L12" i="13"/>
  <c r="J12" i="13"/>
  <c r="I12" i="13"/>
  <c r="H12" i="13"/>
  <c r="G12" i="13"/>
  <c r="K12" i="13" s="1"/>
  <c r="F12" i="13"/>
  <c r="E12" i="13"/>
  <c r="K11" i="13"/>
  <c r="J11" i="13"/>
  <c r="I11" i="13"/>
  <c r="H11" i="13"/>
  <c r="L11" i="13" s="1"/>
  <c r="G11" i="13"/>
  <c r="F11" i="13"/>
  <c r="E11" i="13"/>
  <c r="P11" i="13" s="1"/>
  <c r="J10" i="13"/>
  <c r="H10" i="13"/>
  <c r="L10" i="13" s="1"/>
  <c r="G10" i="13"/>
  <c r="K10" i="13" s="1"/>
  <c r="F10" i="13"/>
  <c r="E10" i="13"/>
  <c r="P10" i="13" s="1"/>
  <c r="L9" i="13"/>
  <c r="I9" i="13"/>
  <c r="R9" i="13" s="1"/>
  <c r="H9" i="13"/>
  <c r="G9" i="13"/>
  <c r="K9" i="13" s="1"/>
  <c r="F9" i="13"/>
  <c r="J9" i="13" s="1"/>
  <c r="E9" i="13"/>
  <c r="P9" i="13" s="1"/>
  <c r="K8" i="13"/>
  <c r="H8" i="13"/>
  <c r="L8" i="13" s="1"/>
  <c r="G8" i="13"/>
  <c r="F8" i="13"/>
  <c r="J8" i="13" s="1"/>
  <c r="E8" i="13"/>
  <c r="I8" i="13" s="1"/>
  <c r="R8" i="13" s="1"/>
  <c r="L7" i="13"/>
  <c r="I7" i="13"/>
  <c r="H7" i="13"/>
  <c r="G7" i="13"/>
  <c r="K7" i="13" s="1"/>
  <c r="F7" i="13"/>
  <c r="J7" i="13" s="1"/>
  <c r="E7" i="13"/>
  <c r="W6" i="13"/>
  <c r="L6" i="13"/>
  <c r="K6" i="13"/>
  <c r="H6" i="13"/>
  <c r="G6" i="13"/>
  <c r="F6" i="13"/>
  <c r="J6" i="13" s="1"/>
  <c r="E6" i="13"/>
  <c r="I6" i="13" s="1"/>
  <c r="R6" i="13" s="1"/>
  <c r="W5" i="13"/>
  <c r="P5" i="13"/>
  <c r="K5" i="13"/>
  <c r="J5" i="13"/>
  <c r="I5" i="13"/>
  <c r="H5" i="13"/>
  <c r="L5" i="13" s="1"/>
  <c r="G5" i="13"/>
  <c r="F5" i="13"/>
  <c r="E5" i="13"/>
  <c r="W4" i="13"/>
  <c r="L4" i="13"/>
  <c r="J4" i="13"/>
  <c r="I4" i="13"/>
  <c r="H4" i="13"/>
  <c r="G4" i="13"/>
  <c r="K4" i="13" s="1"/>
  <c r="F4" i="13"/>
  <c r="E4" i="13"/>
  <c r="W3" i="13"/>
  <c r="W2" i="13"/>
  <c r="I2" i="13" a="1"/>
  <c r="E2" i="13" a="1"/>
  <c r="E2" i="13" s="1"/>
  <c r="J20" i="12"/>
  <c r="D10" i="10"/>
  <c r="D9" i="10"/>
  <c r="E8" i="10"/>
  <c r="D8" i="10"/>
  <c r="D7" i="10"/>
  <c r="D6" i="10"/>
  <c r="D5" i="10"/>
  <c r="D27" i="9"/>
  <c r="E24" i="9"/>
  <c r="E21" i="9"/>
  <c r="E19" i="9"/>
  <c r="E18" i="9"/>
  <c r="E14" i="9"/>
  <c r="E11" i="9"/>
  <c r="E7" i="9"/>
  <c r="E6" i="9"/>
  <c r="D37" i="8"/>
  <c r="E27" i="8"/>
  <c r="E25" i="8"/>
  <c r="E24" i="8"/>
  <c r="E19" i="8" s="1"/>
  <c r="E21" i="8"/>
  <c r="E15" i="8"/>
  <c r="E12" i="8"/>
  <c r="F4" i="7"/>
  <c r="E4" i="7"/>
  <c r="C9" i="1"/>
  <c r="Q23" i="15" s="1"/>
  <c r="F16" i="18"/>
  <c r="H16" i="18" s="1"/>
  <c r="H15" i="18"/>
  <c r="F15" i="18"/>
  <c r="H14" i="18"/>
  <c r="F14" i="18"/>
  <c r="F13" i="18"/>
  <c r="H13" i="18" s="1"/>
  <c r="F12" i="18"/>
  <c r="H12" i="18" s="1"/>
  <c r="F11" i="18"/>
  <c r="H11" i="18" s="1"/>
  <c r="H10" i="18"/>
  <c r="F10" i="18"/>
  <c r="F9" i="18"/>
  <c r="H9" i="18" s="1"/>
  <c r="H8" i="18"/>
  <c r="F8" i="18"/>
  <c r="F7" i="18"/>
  <c r="H7" i="18" s="1"/>
  <c r="P6" i="18"/>
  <c r="F6" i="18"/>
  <c r="H6" i="18" s="1"/>
  <c r="P5" i="18"/>
  <c r="F5" i="18"/>
  <c r="H5" i="18" s="1"/>
  <c r="P4" i="18"/>
  <c r="F4" i="18"/>
  <c r="H4" i="18" s="1"/>
  <c r="P3" i="18"/>
  <c r="H3" i="18"/>
  <c r="F3" i="18"/>
  <c r="P2" i="18"/>
  <c r="F2" i="18"/>
  <c r="H2" i="18" s="1"/>
  <c r="R12" i="13" l="1"/>
  <c r="R14" i="13"/>
  <c r="R42" i="13"/>
  <c r="R22" i="13"/>
  <c r="R18" i="13"/>
  <c r="R26" i="13"/>
  <c r="R38" i="13"/>
  <c r="P6" i="13"/>
  <c r="P23" i="13"/>
  <c r="Q10" i="15"/>
  <c r="P10" i="15" s="1"/>
  <c r="F21" i="15"/>
  <c r="E21" i="15" s="1"/>
  <c r="G21" i="15" s="1"/>
  <c r="F2" i="13"/>
  <c r="R4" i="13"/>
  <c r="F8" i="15"/>
  <c r="E8" i="15" s="1"/>
  <c r="G8" i="15" s="1"/>
  <c r="F16" i="15"/>
  <c r="E16" i="15" s="1"/>
  <c r="G16" i="15" s="1"/>
  <c r="Q18" i="15"/>
  <c r="P3" i="19"/>
  <c r="R11" i="13"/>
  <c r="R15" i="13"/>
  <c r="L19" i="13"/>
  <c r="R19" i="13" s="1"/>
  <c r="R35" i="13"/>
  <c r="D11" i="10"/>
  <c r="D27" i="10" s="1"/>
  <c r="H2" i="13"/>
  <c r="J18" i="13"/>
  <c r="I25" i="13"/>
  <c r="R25" i="13" s="1"/>
  <c r="I28" i="13"/>
  <c r="R28" i="13" s="1"/>
  <c r="P39" i="13"/>
  <c r="I41" i="13"/>
  <c r="R41" i="13" s="1"/>
  <c r="P45" i="13"/>
  <c r="F22" i="15"/>
  <c r="E22" i="15" s="1"/>
  <c r="G22" i="15" s="1"/>
  <c r="F30" i="15"/>
  <c r="E30" i="15" s="1"/>
  <c r="G30" i="15" s="1"/>
  <c r="H2" i="16"/>
  <c r="I2" i="16"/>
  <c r="J2" i="16" s="1"/>
  <c r="L2" i="13"/>
  <c r="K2" i="13"/>
  <c r="P8" i="13"/>
  <c r="P16" i="13"/>
  <c r="I17" i="13"/>
  <c r="R17" i="13" s="1"/>
  <c r="P32" i="13"/>
  <c r="F6" i="15"/>
  <c r="E6" i="15" s="1"/>
  <c r="G6" i="15" s="1"/>
  <c r="F14" i="15"/>
  <c r="E14" i="15" s="1"/>
  <c r="G14" i="15" s="1"/>
  <c r="Q16" i="15"/>
  <c r="P16" i="15" s="1"/>
  <c r="Q19" i="15"/>
  <c r="P19" i="15" s="1"/>
  <c r="P11" i="19"/>
  <c r="I2" i="13"/>
  <c r="P15" i="13"/>
  <c r="H2" i="22"/>
  <c r="H29" i="22" s="1"/>
  <c r="G29" i="22"/>
  <c r="J2" i="13"/>
  <c r="I10" i="13"/>
  <c r="R10" i="13" s="1"/>
  <c r="J24" i="13"/>
  <c r="R24" i="13" s="1"/>
  <c r="I31" i="13"/>
  <c r="R31" i="13" s="1"/>
  <c r="I34" i="13"/>
  <c r="R34" i="13" s="1"/>
  <c r="F23" i="15"/>
  <c r="G23" i="15" s="1"/>
  <c r="F27" i="15"/>
  <c r="E27" i="15" s="1"/>
  <c r="G27" i="15" s="1"/>
  <c r="I59" i="19"/>
  <c r="F60" i="19" s="1"/>
  <c r="G2" i="13"/>
  <c r="Q6" i="15"/>
  <c r="Q9" i="15"/>
  <c r="Q14" i="15"/>
  <c r="Q27" i="15"/>
  <c r="P6" i="19"/>
  <c r="P14" i="13"/>
  <c r="P22" i="13"/>
  <c r="I27" i="13"/>
  <c r="R27" i="13" s="1"/>
  <c r="P38" i="13"/>
  <c r="I40" i="13"/>
  <c r="R40" i="13" s="1"/>
  <c r="P44" i="13"/>
  <c r="F20" i="15"/>
  <c r="E20" i="15" s="1"/>
  <c r="G20" i="15" s="1"/>
  <c r="F31" i="15"/>
  <c r="E31" i="15" s="1"/>
  <c r="G31" i="15" s="1"/>
  <c r="Q26" i="15"/>
  <c r="Q33" i="15"/>
  <c r="F29" i="15"/>
  <c r="E29" i="15" s="1"/>
  <c r="G29" i="15" s="1"/>
  <c r="F24" i="15"/>
  <c r="E24" i="15" s="1"/>
  <c r="G24" i="15" s="1"/>
  <c r="Q21" i="15"/>
  <c r="F17" i="15"/>
  <c r="E17" i="15" s="1"/>
  <c r="G17" i="15" s="1"/>
  <c r="F26" i="15"/>
  <c r="E26" i="15" s="1"/>
  <c r="G26" i="15" s="1"/>
  <c r="F9" i="15"/>
  <c r="E9" i="15" s="1"/>
  <c r="G9" i="15" s="1"/>
  <c r="F19" i="15"/>
  <c r="E19" i="15" s="1"/>
  <c r="G19" i="15" s="1"/>
  <c r="F13" i="15"/>
  <c r="E13" i="15" s="1"/>
  <c r="G13" i="15" s="1"/>
  <c r="F7" i="15"/>
  <c r="E7" i="15" s="1"/>
  <c r="G7" i="15" s="1"/>
  <c r="F33" i="15"/>
  <c r="E33" i="15" s="1"/>
  <c r="G33" i="15" s="1"/>
  <c r="Q30" i="15"/>
  <c r="P30" i="15" s="1"/>
  <c r="Q28" i="15"/>
  <c r="Q32" i="15"/>
  <c r="F32" i="15"/>
  <c r="E32" i="15" s="1"/>
  <c r="G32" i="15" s="1"/>
  <c r="Q29" i="15"/>
  <c r="P29" i="15" s="1"/>
  <c r="Q24" i="15"/>
  <c r="P24" i="15" s="1"/>
  <c r="Q17" i="15"/>
  <c r="P17" i="15" s="1"/>
  <c r="F12" i="15"/>
  <c r="E12" i="15" s="1"/>
  <c r="G12" i="15" s="1"/>
  <c r="F10" i="15"/>
  <c r="E10" i="15" s="1"/>
  <c r="G10" i="15" s="1"/>
  <c r="Q7" i="15"/>
  <c r="P7" i="15" s="1"/>
  <c r="P21" i="13"/>
  <c r="Q12" i="15"/>
  <c r="P12" i="15" s="1"/>
  <c r="F15" i="15"/>
  <c r="E15" i="15" s="1"/>
  <c r="G15" i="15" s="1"/>
  <c r="Q31" i="15"/>
  <c r="O17" i="19"/>
  <c r="P4" i="13"/>
  <c r="R5" i="13"/>
  <c r="R39" i="13"/>
  <c r="R45" i="13"/>
  <c r="I7" i="15"/>
  <c r="Q20" i="15"/>
  <c r="F28" i="15"/>
  <c r="E28" i="15" s="1"/>
  <c r="G28" i="15" s="1"/>
  <c r="P8" i="19"/>
  <c r="L17" i="19"/>
  <c r="N4" i="19"/>
  <c r="P4" i="19" s="1"/>
  <c r="P17" i="19" l="1"/>
  <c r="N1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000-000001000000}">
      <text>
        <r>
          <rPr>
            <sz val="10"/>
            <rFont val="Arial"/>
            <family val="2"/>
          </rPr>
          <t>Inilah inti human-centric design:
Driver dibatasi max 208 jam/bulan biar gak overwork.
Konstrain x_lm ≤ T_k di model matematis 2 dihitung dari sini.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" authorId="0" shapeId="0" xr:uid="{00000000-0006-0000-0B00-000001000000}">
      <text>
        <r>
          <rPr>
            <sz val="10"/>
            <rFont val="Arial"/>
            <family val="2"/>
          </rPr>
          <t>Forward breakdown:
Direct CPU, gak forward kemana-mana</t>
        </r>
      </text>
    </comment>
    <comment ref="F6" authorId="0" shapeId="0" xr:uid="{00000000-0006-0000-0B00-000002000000}">
      <text>
        <r>
          <rPr>
            <sz val="10"/>
            <rFont val="Arial"/>
            <family val="2"/>
          </rPr>
          <t>Forward breakdown:
→ Kupang 8540 + Maumere 2709 + Sumbawa 3519 + Bima 5783 = 20551</t>
        </r>
      </text>
    </comment>
    <comment ref="F7" authorId="0" shapeId="0" xr:uid="{00000000-0006-0000-0B00-000003000000}">
      <text>
        <r>
          <rPr>
            <sz val="10"/>
            <rFont val="Arial"/>
            <family val="2"/>
          </rPr>
          <t>Forward breakdown:
→ Kolaka 3579 + Unaaha 2181 + Bau-Bau 2724 = 8484</t>
        </r>
      </text>
    </comment>
    <comment ref="F8" authorId="0" shapeId="0" xr:uid="{00000000-0006-0000-0B00-000004000000}">
      <text>
        <r>
          <rPr>
            <sz val="10"/>
            <rFont val="Arial"/>
            <family val="2"/>
          </rPr>
          <t>Forward breakdown:
→ Bulukumba, Gowa, Jeneponto, Pangkep, Takalar, Bone, Palopo, Pare-Pare, Sinjai = 53870</t>
        </r>
      </text>
    </comment>
    <comment ref="F9" authorId="0" shapeId="0" xr:uid="{00000000-0006-0000-0B00-000005000000}">
      <text>
        <r>
          <rPr>
            <sz val="10"/>
            <rFont val="Arial"/>
            <family val="2"/>
          </rPr>
          <t>Forward breakdown:
→ Amurang, Bitung, Kotamobagu, Tomohon, Gorontalo (+Marisa) = 18738</t>
        </r>
      </text>
    </comment>
    <comment ref="F10" authorId="0" shapeId="0" xr:uid="{00000000-0006-0000-0B00-000006000000}">
      <text>
        <r>
          <rPr>
            <sz val="10"/>
            <rFont val="Arial"/>
            <family val="2"/>
          </rPr>
          <t>Forward breakdown:
→ Parigi 1223 + Luwuk 9643 + Mamuju 2902 + Poso 2016 = 15784</t>
        </r>
      </text>
    </comment>
    <comment ref="F11" authorId="0" shapeId="0" xr:uid="{00000000-0006-0000-0B00-000007000000}">
      <text>
        <r>
          <rPr>
            <sz val="10"/>
            <rFont val="Arial"/>
            <family val="2"/>
          </rPr>
          <t>Forward breakdown:
→ Penajam-Grogot 4675</t>
        </r>
      </text>
    </comment>
    <comment ref="F12" authorId="0" shapeId="0" xr:uid="{00000000-0006-0000-0B00-000008000000}">
      <text>
        <r>
          <rPr>
            <sz val="10"/>
            <rFont val="Arial"/>
            <family val="2"/>
          </rPr>
          <t>Forward breakdown:
→ Barabai 12496 + Batu Licin 7766 + Rantau 4287 = 24549</t>
        </r>
      </text>
    </comment>
    <comment ref="F13" authorId="0" shapeId="0" xr:uid="{00000000-0006-0000-0B00-000009000000}">
      <text>
        <r>
          <rPr>
            <sz val="10"/>
            <rFont val="Arial"/>
            <family val="2"/>
          </rPr>
          <t>Forward breakdown:
Direct DC, gak forward kemana-mana</t>
        </r>
      </text>
    </comment>
    <comment ref="F14" authorId="0" shapeId="0" xr:uid="{00000000-0006-0000-0B00-00000A000000}">
      <text>
        <r>
          <rPr>
            <sz val="10"/>
            <rFont val="Arial"/>
            <family val="2"/>
          </rPr>
          <t>Forward breakdown:
→ Bontang-Sangata 1330</t>
        </r>
      </text>
    </comment>
    <comment ref="F15" authorId="0" shapeId="0" xr:uid="{00000000-0006-0000-0B00-00000B000000}">
      <text>
        <r>
          <rPr>
            <sz val="10"/>
            <rFont val="Arial"/>
            <family val="2"/>
          </rPr>
          <t>Forward breakdown:
→ Ampah 4623</t>
        </r>
      </text>
    </comment>
    <comment ref="F16" authorId="0" shapeId="0" xr:uid="{00000000-0006-0000-0B00-00000C000000}">
      <text>
        <r>
          <rPr>
            <sz val="10"/>
            <rFont val="Arial"/>
            <family val="2"/>
          </rPr>
          <t>Forward breakdown:
→ Ketapang 3313 + Singkawang 3964 + Sintang 2845 = 10122</t>
        </r>
      </text>
    </comment>
    <comment ref="F17" authorId="0" shapeId="0" xr:uid="{00000000-0006-0000-0B00-00000D000000}">
      <text>
        <r>
          <rPr>
            <sz val="10"/>
            <rFont val="Arial"/>
            <family val="2"/>
          </rPr>
          <t>Forward breakdown:
Direct DC, gak forward kemana-mana</t>
        </r>
      </text>
    </comment>
    <comment ref="F18" authorId="0" shapeId="0" xr:uid="{00000000-0006-0000-0B00-00000E000000}">
      <text>
        <r>
          <rPr>
            <sz val="10"/>
            <rFont val="Arial"/>
            <family val="2"/>
          </rPr>
          <t>Forward breakdown:
→ Pangkalanbun 6285</t>
        </r>
      </text>
    </comment>
    <comment ref="F19" authorId="0" shapeId="0" xr:uid="{00000000-0006-0000-0B00-00000F000000}">
      <text>
        <r>
          <rPr>
            <sz val="10"/>
            <rFont val="Arial"/>
            <family val="2"/>
          </rPr>
          <t>Forward breakdown:
Direct DC, gak forward kemana-mana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E00-000001000000}">
      <text>
        <r>
          <rPr>
            <sz val="10"/>
            <rFont val="Arial"/>
            <family val="2"/>
          </rPr>
          <t>Waktu trip 1 arah (jam) = Jarak terjauh / Kecepatan kendaraan.
Reference ke Named Range Kecepatan_Kendaraan di sheet ⚙️ Parameter Global.</t>
        </r>
      </text>
    </comment>
    <comment ref="F5" authorId="0" shapeId="0" xr:uid="{00000000-0006-0000-0E00-000002000000}">
      <text>
        <r>
          <rPr>
            <sz val="10"/>
            <rFont val="Arial"/>
            <family val="2"/>
          </rPr>
          <t>Total jam kerja maksimum per bulan = 26 hari × 8 jam = 208 jam.
Inilah CAP HUMAN-CENTRIC. Ubah di sheet ⚙️ Parameter Global.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Tabel asli (kolom A-I) = data detail per rute &amp; vehicle.
Lihat kolom K-Q untuk RINGKASAN 4 komponen biaya per Asal,
sesuai Fungsi Objektif Z₂ di laporan.</t>
        </r>
      </text>
    </comment>
    <comment ref="M3" authorId="0" shapeId="0" xr:uid="{00000000-0006-0000-1200-000002000000}">
      <text>
        <r>
          <rPr>
            <sz val="10"/>
            <rFont val="Arial"/>
            <family val="2"/>
          </rPr>
          <t>Sewa per route (Banjarmasin):
  CDE ke Barabai = 2×CDE @ Rp6,560,843 = Rp13,121,687
  CDE ke Batu Licin = 1×CDE @ Rp6,560,843 = Rp6,560,843
  CDE ke Rantau = 1×CDE @ Rp6,560,843 = Rp6,560,843
Total Sewa: Rp26,243,373</t>
        </r>
      </text>
    </comment>
    <comment ref="M4" authorId="0" shapeId="0" xr:uid="{00000000-0006-0000-1200-000003000000}">
      <text>
        <r>
          <rPr>
            <sz val="10"/>
            <rFont val="Arial"/>
            <family val="2"/>
          </rPr>
          <t>Sewa per route (Lombok):
  CDD ke Sumbawa = 1×CDD @ Rp6,900,000 = Rp6,900,000
  CDE ke Kupang = 6×CDE @ Rp5,500,000 = Rp33,000,000
  CDE ke Maumere = 2×CDE @ Rp5,500,000 = Rp11,000,000
  CDE ke Sumbawa = 1×CDE @ Rp5,500,000 = Rp5,500,000
Total Sewa: Rp56,400,000</t>
        </r>
      </text>
    </comment>
    <comment ref="M5" authorId="0" shapeId="0" xr:uid="{00000000-0006-0000-1200-000004000000}">
      <text>
        <r>
          <rPr>
            <sz val="10"/>
            <rFont val="Arial"/>
            <family val="2"/>
          </rPr>
          <t>Sewa per route (Bontang):
  CDE ke Bontang-Sangata = 1×CDE @ Rp6,560,843 = Rp6,560,843
Total Sewa: Rp6,560,843</t>
        </r>
      </text>
    </comment>
    <comment ref="M6" authorId="0" shapeId="0" xr:uid="{00000000-0006-0000-1200-000005000000}">
      <text>
        <r>
          <rPr>
            <sz val="10"/>
            <rFont val="Arial"/>
            <family val="2"/>
          </rPr>
          <t>Sewa per route (Palangkaraya):
  CDE ke Ampah = 1×CDE @ Rp6,560,843 = Rp6,560,843
Total Sewa: Rp6,560,843</t>
        </r>
      </text>
    </comment>
    <comment ref="M7" authorId="0" shapeId="0" xr:uid="{00000000-0006-0000-1200-000006000000}">
      <text>
        <r>
          <rPr>
            <sz val="10"/>
            <rFont val="Arial"/>
            <family val="2"/>
          </rPr>
          <t>Sewa per route (Pontianak):
  CDE ke Ketapang = 1×CDE @ Rp6,560,843 = Rp6,560,843
  CDE ke Singkawang = 1×CDE @ Rp6,560,843 = Rp6,560,843
  CDE ke Sintang = 1×CDE @ Rp6,560,843 = Rp6,560,843
Total Sewa: Rp19,682,530</t>
        </r>
      </text>
    </comment>
    <comment ref="M8" authorId="0" shapeId="0" xr:uid="{00000000-0006-0000-1200-000007000000}">
      <text>
        <r>
          <rPr>
            <sz val="10"/>
            <rFont val="Arial"/>
            <family val="2"/>
          </rPr>
          <t>Sewa per route (Sampit):
  CDE ke Pangkalanbun = 1×CDE @ Rp6,560,843 = Rp6,560,843
Total Sewa: Rp6,560,843</t>
        </r>
      </text>
    </comment>
    <comment ref="M9" authorId="0" shapeId="0" xr:uid="{00000000-0006-0000-1200-000008000000}">
      <text>
        <r>
          <rPr>
            <sz val="10"/>
            <rFont val="Arial"/>
            <family val="2"/>
          </rPr>
          <t>Sewa per route (Kendari):
  CDE ke Kolaka = 1×CDE @ Rp5,500,000 = Rp5,500,000
  CDE ke Bau-Bau = 1×CDE @ Rp5,500,000 = Rp5,500,000
  GrandMax ke Unaaha = 1×GrandMax @ Rp3,500,000 = Rp3,500,000
Total Sewa: Rp14,500,000</t>
        </r>
      </text>
    </comment>
    <comment ref="M10" authorId="0" shapeId="0" xr:uid="{00000000-0006-0000-1200-000009000000}">
      <text>
        <r>
          <rPr>
            <sz val="10"/>
            <rFont val="Arial"/>
            <family val="2"/>
          </rPr>
          <t>Sewa per route (Manado):
  CDE ke Kotamobagu = 1×CDE @ Rp5,500,000 = Rp5,500,000
  CDE ke Gorontalo = 2×CDE @ Rp5,500,000 = Rp11,000,000
  GrandMax ke Amurang = 1×GrandMax @ Rp3,500,000 = Rp3,500,000
  GrandMax ke Bitung = 1×GrandMax @ Rp3,500,000 = Rp3,500,000
  GrandMax ke Tomohon = 1×GrandMax @ Rp3,500,000 = Rp3,500,000
Total Sewa: Rp27,000,000</t>
        </r>
      </text>
    </comment>
    <comment ref="M11" authorId="0" shapeId="0" xr:uid="{00000000-0006-0000-1200-00000A000000}">
      <text>
        <r>
          <rPr>
            <sz val="10"/>
            <rFont val="Arial"/>
            <family val="2"/>
          </rPr>
          <t>Sewa per route (Palu):
  CDE ke Luwuk = 4×CDE @ Rp5,500,000 = Rp22,000,000
  CDE ke Mamuju = 1×CDE @ Rp5,500,000 = Rp5,500,000
  CDE ke Poso = 1×CDE @ Rp5,500,000 = Rp5,500,000
  GrandMax ke Parigi = 1×GrandMax @ Rp3,500,000 = Rp3,500,000
Total Sewa: Rp36,500,000</t>
        </r>
      </text>
    </comment>
    <comment ref="M12" authorId="0" shapeId="0" xr:uid="{00000000-0006-0000-1200-00000B000000}">
      <text>
        <r>
          <rPr>
            <sz val="10"/>
            <rFont val="Arial"/>
            <family val="2"/>
          </rPr>
          <t>Sewa per route (Palopo):
  CDE ke Mangkutana = 1×CDE @ Rp5,500,000 = Rp5,500,000
  CDE ke Toraja = 1×CDE @ Rp5,500,000 = Rp5,500,000
  GrandMax ke Belopa = 1×GrandMax @ Rp3,500,000 = Rp3,500,000
Total Sewa: Rp14,500,000</t>
        </r>
      </text>
    </comment>
    <comment ref="M13" authorId="0" shapeId="0" xr:uid="{00000000-0006-0000-1200-00000C000000}">
      <text>
        <r>
          <rPr>
            <sz val="10"/>
            <rFont val="Arial"/>
            <family val="2"/>
          </rPr>
          <t>Sewa per route (Pare-Pare):
  CDE ke Polman = 1×CDE @ Rp5,500,000 = Rp5,500,000
  CDE ke Sengkang = 1×CDE @ Rp5,500,000 = Rp5,500,000
  GrandMax ke Barru = 1×GrandMax @ Rp3,500,000 = Rp3,500,000
Total Sewa: Rp14,500,000</t>
        </r>
      </text>
    </comment>
    <comment ref="M14" authorId="0" shapeId="0" xr:uid="{00000000-0006-0000-1200-00000D000000}">
      <text>
        <r>
          <rPr>
            <sz val="10"/>
            <rFont val="Arial"/>
            <family val="2"/>
          </rPr>
          <t>Sewa per route (Balikpapan):
  CDE ke Penajam-Grogot = 1×CDE @ Rp6,560,843 = Rp6,560,843
Total Sewa: Rp6,560,843</t>
        </r>
      </text>
    </comment>
    <comment ref="M15" authorId="0" shapeId="0" xr:uid="{00000000-0006-0000-1200-00000E000000}">
      <text>
        <r>
          <rPr>
            <sz val="10"/>
            <rFont val="Arial"/>
            <family val="2"/>
          </rPr>
          <t>Sewa per route (Makassar):
  CDD ke Gowa = 1×CDD @ Rp6,900,000 = Rp6,900,000
  CDD ke Pare-Pare = 1×CDD @ Rp6,900,000 = Rp6,900,000
  CDE ke Bulukumba = 1×CDE @ Rp5,500,000 = Rp5,500,000
  CDE ke Gowa = 1×CDE @ Rp5,500,000 = Rp5,500,000
  CDE ke Jeneponto = 1×CDE @ Rp5,500,000 = Rp5,500,000
  CDE ke Bone = 1×CDE @ Rp5,500,000 = Rp5,500,000
  CDE ke Palopo = 1×CDE @ Rp5,500,000 = Rp5,500,000
  CDE ke Sinjai = 1×CDE @ Rp5,500,000 = Rp5,500,000
  GrandMax ke Pangkep = 1×GrandMax @ Rp3,500,000 = Rp3,500,000
  GrandMax ke Takalar = 1×GrandMax @ Rp3,500,000 = Rp3,500,000
Total Sewa: Rp53,800,000</t>
        </r>
      </text>
    </comment>
    <comment ref="M16" authorId="0" shapeId="0" xr:uid="{00000000-0006-0000-1200-00000F000000}">
      <text>
        <r>
          <rPr>
            <sz val="10"/>
            <rFont val="Arial"/>
            <family val="2"/>
          </rPr>
          <t>Sewa per route (Gorontalo):
  CDE ke Marisa = 1×CDE @ Rp5,500,000 = Rp5,500,000
Total Sewa: Rp5,500,000</t>
        </r>
      </text>
    </comment>
  </commentList>
</comments>
</file>

<file path=xl/sharedStrings.xml><?xml version="1.0" encoding="utf-8"?>
<sst xmlns="http://schemas.openxmlformats.org/spreadsheetml/2006/main" count="4645" uniqueCount="858">
  <si>
    <t>⚙️  PARAMETER GLOBAL — Single source of truth</t>
  </si>
  <si>
    <t>Semua parameter di bawah ini dipake oleh sheet lain via cell reference. Ubah di sini, semuanya ikut update.</t>
  </si>
  <si>
    <t>🧑‍💼  HUMAN-CENTRIC PARAMETERS (Batasan Jam Kerja Manusia)</t>
  </si>
  <si>
    <t>Parameter</t>
  </si>
  <si>
    <t>Nilai</t>
  </si>
  <si>
    <t>Satuan</t>
  </si>
  <si>
    <t>Penjelasan</t>
  </si>
  <si>
    <t>Hari kerja per bulan</t>
  </si>
  <si>
    <t>hari</t>
  </si>
  <si>
    <t>Asumsi: 6 hari/minggu × ~4,33 minggu/bulan</t>
  </si>
  <si>
    <t>Jam kerja per hari</t>
  </si>
  <si>
    <t>jam</t>
  </si>
  <si>
    <t>Standar UU Ketenagakerjaan No. 13/2003</t>
  </si>
  <si>
    <t>Total jam kerja/bulan</t>
  </si>
  <si>
    <t>Cap maksimum waktu driver per bulan</t>
  </si>
  <si>
    <t>Kecepatan rata-rata kendaraan</t>
  </si>
  <si>
    <t>km/jam</t>
  </si>
  <si>
    <t>Asumsi kecepatan truk darat rata-rata</t>
  </si>
  <si>
    <t>💡  Formula T_k (Trip Max per Kendaraan) = FLOOR(JamKerja_PerBulan / (Jarak_terjauh / Kecepatan), 1)</t>
  </si>
  <si>
    <t>⛽  HARGA BBM</t>
  </si>
  <si>
    <t>Jenis BBM</t>
  </si>
  <si>
    <t>Harga</t>
  </si>
  <si>
    <t>Dipake oleh</t>
  </si>
  <si>
    <t>Biosolar (Solar Subsidi)</t>
  </si>
  <si>
    <t>Rp/Liter</t>
  </si>
  <si>
    <t>CDD, CDE</t>
  </si>
  <si>
    <t>Pertalite</t>
  </si>
  <si>
    <t>GrandMax, Kijang, Motorbike</t>
  </si>
  <si>
    <t>🚛  KAPASITAS &amp; KONSUMSI KENDARAAN</t>
  </si>
  <si>
    <t>Jenis Kendaraan</t>
  </si>
  <si>
    <t>Kapasitas (boks)</t>
  </si>
  <si>
    <t>Konsumsi BBM</t>
  </si>
  <si>
    <t>CDD</t>
  </si>
  <si>
    <t>Biosolar</t>
  </si>
  <si>
    <t>CDE</t>
  </si>
  <si>
    <t>GrandMax</t>
  </si>
  <si>
    <t>Kijang</t>
  </si>
  <si>
    <t>Motorbike</t>
  </si>
  <si>
    <t>📦  KAPASITAS KONTAINER (First Mile)</t>
  </si>
  <si>
    <t>Jenis Kontainer</t>
  </si>
  <si>
    <t>Volume (boks)</t>
  </si>
  <si>
    <t>Volume (m³)</t>
  </si>
  <si>
    <t>Catatan</t>
  </si>
  <si>
    <t>40FT</t>
  </si>
  <si>
    <t>Kontainer laut besar</t>
  </si>
  <si>
    <t>Build Up</t>
  </si>
  <si>
    <t>Kontainer reefer/khusus</t>
  </si>
  <si>
    <t>20FT</t>
  </si>
  <si>
    <t>Kontainer laut kecil</t>
  </si>
  <si>
    <t>FUSO</t>
  </si>
  <si>
    <t>Truk berat</t>
  </si>
  <si>
    <t>Truk medium (juga di middle mile)</t>
  </si>
  <si>
    <t>📘  MODEL MATEMATIS — Minimisasi Biaya Transportasi FMCG</t>
  </si>
  <si>
    <t>Wilayah Kalimantan, Sulawesi, BaliNusra · MILP (Mixed Integer Linear Programming)</t>
  </si>
  <si>
    <t>🚢  MODEL 1: FIRST MILE  (Pabrik Karawang → Direct CPU / Direct DC)</t>
  </si>
  <si>
    <t>Output: total biaya transportasi first mile per bulan (Rp)</t>
  </si>
  <si>
    <t>INDEKS</t>
  </si>
  <si>
    <t>i</t>
  </si>
  <si>
    <t>Lokasi asal: BaliNusra, Sulawesi, Kalimantan</t>
  </si>
  <si>
    <t>j</t>
  </si>
  <si>
    <t>Lokasi tujuan: 15 DC (Direct CPU + Direct DC)</t>
  </si>
  <si>
    <t>v</t>
  </si>
  <si>
    <t>Jenis container: 40FT, Build Up, 20FT, FUSO, CDD</t>
  </si>
  <si>
    <t>VARIABEL KEPUTUSAN</t>
  </si>
  <si>
    <t>x_ijv</t>
  </si>
  <si>
    <t>Jumlah trip container v dari lokasi i ke j (integer ≥ 0)</t>
  </si>
  <si>
    <t>b_ijv</t>
  </si>
  <si>
    <t>Biner: 1 jika container v dipake untuk rute i→j</t>
  </si>
  <si>
    <t>q_ijv</t>
  </si>
  <si>
    <t>Jumlah boks dikirim dari i ke j dengan container v (≥ 0)</t>
  </si>
  <si>
    <t>FUNGSI OBJEKTIF</t>
  </si>
  <si>
    <t xml:space="preserve">  Min  Z₁ = ΣᵢΣⱼΣᵥ  r_ijv × b_ijv × x_ijv</t>
  </si>
  <si>
    <t>r_ijv = Rate T&amp;W (Rp/trip), dari sheet "Rate T&amp;W"</t>
  </si>
  <si>
    <t>FUNGSI PEMBATAS (Constraint)</t>
  </si>
  <si>
    <t>1</t>
  </si>
  <si>
    <t>q_ijv ≤ C_v × x_ijv</t>
  </si>
  <si>
    <t>Jumlah boks ≤ kapasitas container × jumlah trip</t>
  </si>
  <si>
    <t>2</t>
  </si>
  <si>
    <t>Σ q_ijv ≥ D_j</t>
  </si>
  <si>
    <t>Total kiriman ≥ demand bulanan di tujuan j</t>
  </si>
  <si>
    <t>3</t>
  </si>
  <si>
    <t>q_ijv ≥ 0</t>
  </si>
  <si>
    <t>Jumlah boks non-negatif</t>
  </si>
  <si>
    <t>4</t>
  </si>
  <si>
    <t>x_ijv ≥ 0, integer</t>
  </si>
  <si>
    <t>Jumlah trip non-negatif &amp; bulat</t>
  </si>
  <si>
    <t>🚚  MODEL 2: MIDDLE MILE  (Direct CPU/DC → Indirect DC / Depo)</t>
  </si>
  <si>
    <t>Output: total biaya transportasi middle mile per bulan (Rp) · BBM + Driver + Staff + Sewa Kendaraan</t>
  </si>
  <si>
    <t>k</t>
  </si>
  <si>
    <t>Lokasi asal: 27 hub (9 Direct DC + 6 Direct CPU + 12 Indirect DC)</t>
  </si>
  <si>
    <t>l</t>
  </si>
  <si>
    <t>Lokasi tujuan: 42 (12 Indirect DC + 30 Depo/Machine Room)</t>
  </si>
  <si>
    <t>m</t>
  </si>
  <si>
    <t>Jenis kendaraan: CDD, CDE, GrandMax, Kijang, Motorbike</t>
  </si>
  <si>
    <t>x_klm</t>
  </si>
  <si>
    <t>Jumlah trip kendaraan m dari k ke l (integer ≥ 0)</t>
  </si>
  <si>
    <t>n_klm</t>
  </si>
  <si>
    <t>Jumlah unit kendaraan m yang dipake di rute k→l</t>
  </si>
  <si>
    <t>b_klm</t>
  </si>
  <si>
    <t>Biner: 1 jika kendaraan m dipake</t>
  </si>
  <si>
    <t>q_klm</t>
  </si>
  <si>
    <t>Jumlah boks dikirim (≥ 0)</t>
  </si>
  <si>
    <t>FUNGSI OBJEKTIF (4 komponen biaya)</t>
  </si>
  <si>
    <t xml:space="preserve">  Min  Z₂ =  Σ(r_klm × b_klm × n_klm)        ← Sewa kendaraan
          + Σ((2 × d_kl × c_m / p_m) × x_klm)  ← BBM (×2 untuk PP)
          + 2 × Σ(s_kl × n_klm)               ← Driver
          + f_kl                              ← Staff gudang</t>
  </si>
  <si>
    <t>r_klm = tarif sewa kendaraan · d_kl = jarak · c_m = harga BBM · p_m = konsumsi BBM (km/L) · s_kl = biaya driver · f_kl = biaya staff</t>
  </si>
  <si>
    <t>q_klm ≤ C_m × x_klm</t>
  </si>
  <si>
    <t>Boks ≤ kapasitas kendaraan × trip</t>
  </si>
  <si>
    <t>Σ q_klm ≥ D_l</t>
  </si>
  <si>
    <t>Demand di tujuan l terpenuhi</t>
  </si>
  <si>
    <t>q_lm × x_lm ≤ G_k</t>
  </si>
  <si>
    <t>Total kirim 1 batch ≤ kapasitas gudang asal k</t>
  </si>
  <si>
    <t>q_klm ≥ 0</t>
  </si>
  <si>
    <t>Boks non-negatif</t>
  </si>
  <si>
    <t>5</t>
  </si>
  <si>
    <t>x_klm ≥ 0, integer</t>
  </si>
  <si>
    <t>Trip non-negatif &amp; bulat</t>
  </si>
  <si>
    <t>6</t>
  </si>
  <si>
    <t>b_klm ∈ {0, 1}</t>
  </si>
  <si>
    <t>Variabel biner</t>
  </si>
  <si>
    <t>7</t>
  </si>
  <si>
    <t>x_lm ≤ T_k</t>
  </si>
  <si>
    <t>HUMAN-CENTRIC: jumlah trip ≤ Trip Maksimum kendaraan dari gudang k</t>
  </si>
  <si>
    <t>🧑‍💼  HUMAN-CENTRIC DEEP-DIVE  — Constraint #7</t>
  </si>
  <si>
    <t>Inti desain: trip kendaraan dibatasi waktu kerja maksimum manusia (driver), supaya tidak overwork.</t>
  </si>
  <si>
    <t>Rumus T_k</t>
  </si>
  <si>
    <t>T_k = ⌊ JamKerjaPerBulan ÷ (JarakTerjauh / Kecepatan) ⌋</t>
  </si>
  <si>
    <t>Komponen</t>
  </si>
  <si>
    <t>JamKerjaPerBulan = 26 hari × 8 jam = 208 jam   ·   Kecepatan = 45 km/jam</t>
  </si>
  <si>
    <t>Contoh</t>
  </si>
  <si>
    <t>Lombok ke BaliNusra: jarak terjauh 1046,39 km → waktu trip 23,25 jam → T = ⌊208/23,25⌋ = 8 trip/bulan</t>
  </si>
  <si>
    <t>Lihat</t>
  </si>
  <si>
    <t>→ Sheet "Jumlah Trip Maksimal" untuk hitungan per area</t>
  </si>
  <si>
    <t>✅  VERIFIKASI DATA vs GUROBI CODE</t>
  </si>
  <si>
    <t>Cek konsistensi data mastersheet dengan Gurobi code (rujukan mutlak)</t>
  </si>
  <si>
    <t>📊  RINGKASAN</t>
  </si>
  <si>
    <t>Item Diverifikasi</t>
  </si>
  <si>
    <t>Status</t>
  </si>
  <si>
    <t>Detail</t>
  </si>
  <si>
    <t>MaxTrip per asal (14 area)</t>
  </si>
  <si>
    <t>✓ MATCH</t>
  </si>
  <si>
    <t>✓ Semua match. Dihitung dari T_k = 208 ÷ (jarak terjauh / 45 km/jam)</t>
  </si>
  <si>
    <t>Sewa kendaraan rate (Kalimantan tier)</t>
  </si>
  <si>
    <t>✓ CDD 13.85M, CDE/GM/Kijang 6.56M — match</t>
  </si>
  <si>
    <t>Sewa kendaraan rate (Sulawesi/BaliNusra tier)</t>
  </si>
  <si>
    <t>✓ CDD 6.9M, CDE 5.5M, GM 3.5M — match</t>
  </si>
  <si>
    <t>BBM rate per (asal,kendaraan,tujuan)</t>
  </si>
  <si>
    <t>✓ Sample verified (Lombok block, Banjarmasin block) — match</t>
  </si>
  <si>
    <t>Middle Mile demand per route</t>
  </si>
  <si>
    <t>✓ Total kirim per route memenuhi demand Gurobi</t>
  </si>
  <si>
    <t>First Mile demand (di sheet Sulawesi/Kalimantan/BaliNusra)</t>
  </si>
  <si>
    <t>✓ Itu LOCAL DEMAND (bukan throughput). Both correct, beda metric.</t>
  </si>
  <si>
    <t>First Mile demand (di sheet Total Biaya First Mile)</t>
  </si>
  <si>
    <t>✓ FIXED v5: pisahin Local Demand + Forward + Throughput. Cost pake throughput.</t>
  </si>
  <si>
    <t>📋  DETAIL DEMAND FIRST MILE — Laporan vs Gurobi</t>
  </si>
  <si>
    <t>Area</t>
  </si>
  <si>
    <t>Local Demand (Laporan)</t>
  </si>
  <si>
    <t>Throughput (Gurobi FM)</t>
  </si>
  <si>
    <t>Forward (Selisih)</t>
  </si>
  <si>
    <t>Denpasar</t>
  </si>
  <si>
    <t>✓ Tidak ada forward</t>
  </si>
  <si>
    <t>Lombok</t>
  </si>
  <si>
    <t>Forward 20,551 boks ke Indirect/Depo</t>
  </si>
  <si>
    <t>Kendari</t>
  </si>
  <si>
    <t>Forward 8,484 boks ke Indirect/Depo</t>
  </si>
  <si>
    <t>Makassar</t>
  </si>
  <si>
    <t>Forward 53,870 boks ke Indirect/Depo</t>
  </si>
  <si>
    <t>Manado</t>
  </si>
  <si>
    <t>Forward 18,738 boks ke Indirect/Depo</t>
  </si>
  <si>
    <t>Palu</t>
  </si>
  <si>
    <t>Forward 15,784 boks ke Indirect/Depo</t>
  </si>
  <si>
    <t>Balikpapan</t>
  </si>
  <si>
    <t>Forward 4,675 boks ke Indirect/Depo</t>
  </si>
  <si>
    <t>Banjarmasin</t>
  </si>
  <si>
    <t>Forward 24,549 boks ke Indirect/Depo</t>
  </si>
  <si>
    <t>Berau</t>
  </si>
  <si>
    <t>Bontang</t>
  </si>
  <si>
    <t>Forward 1,330 boks ke Indirect/Depo</t>
  </si>
  <si>
    <t>Palangkaraya</t>
  </si>
  <si>
    <t>Forward 4,623 boks ke Indirect/Depo</t>
  </si>
  <si>
    <t>Pontianak</t>
  </si>
  <si>
    <t>Forward 10,122 boks ke Indirect/Depo</t>
  </si>
  <si>
    <t>Samarinda</t>
  </si>
  <si>
    <t>Sampit</t>
  </si>
  <si>
    <t>Forward 6,285 boks ke Indirect/Depo</t>
  </si>
  <si>
    <t>Tarakan</t>
  </si>
  <si>
    <t>💰  EXPECTED OPTIMAL COSTS</t>
  </si>
  <si>
    <t>Nilai (Rp/bulan)</t>
  </si>
  <si>
    <t>First Mile (Z₁ optimal)</t>
  </si>
  <si>
    <t>Mix optimal container, demand Gurobi</t>
  </si>
  <si>
    <t>Middle Mile BBM (per Gurobi solution)</t>
  </si>
  <si>
    <t>Match existing sheet — sudah benar</t>
  </si>
  <si>
    <t>Middle Mile Driver</t>
  </si>
  <si>
    <t>Middle Mile Sewa Kendaraan</t>
  </si>
  <si>
    <t>Total dari summary 4-komponen v3</t>
  </si>
  <si>
    <t>Middle Mile Staff</t>
  </si>
  <si>
    <t>GRAND TOTAL Z₁ + Z₂ per bulan</t>
  </si>
  <si>
    <t>~ Rp 4.25 Miliar/bulan</t>
  </si>
  <si>
    <t>🐍  IMPLEMENTASI GUROBI — Penjelasan + Kode Python</t>
  </si>
  <si>
    <t>Kode optimasi MILP untuk Model 2 (Middle Mile). Untuk notasi matematis lihat sheet 📘 Model Matematis.</t>
  </si>
  <si>
    <t>Kode Python</t>
  </si>
  <si>
    <t>🎯  Tujuan Model</t>
  </si>
  <si>
    <t>Mengoptimalkan pengiriman barang dengan meminimalkan total biaya yang terdiri dari:
• Biaya BBM — tergantung jarak &amp; konsumsi bahan bakar
• Biaya penambahan kendaraan — biaya tetap saat menyewa kendaraan baru</t>
  </si>
  <si>
    <t>import gurobipy as gp
from gurobipy import GRB
import pandas as pd
m = gp.Model("MiddleMileOptimization")</t>
  </si>
  <si>
    <t>📥  Bagian 1: Input Data</t>
  </si>
  <si>
    <t>Data tujuan: ID, Kota, Jarak, Demand untuk tiap lokasi tujuan.</t>
  </si>
  <si>
    <t>tujuan_data = {
    'ID_Tujuan': ['DC009','DC010','DC011','DC018','DC027','DC048','DC054','DC055'],
    'Kota':      ['Bulukumba','Gowa','Jeneponto','Pangkep','Takalar','Bone','Palopo','Pare-Pare'],
    'Jarak':     [200, 16.37, 97.42, 55.23, 41.33, 194.85, 375.38, 162.64],
    'Demand':    [2549, 11369, 2561, 1826, 1978, 2871, 3259, 5309]
}
tujuan = pd.DataFrame(tujuan_data)</t>
  </si>
  <si>
    <t>Data kendaraan: Type, Volume (kapasitas), BBM (jenis bahan bakar), Cons (konsumsi km/liter).</t>
  </si>
  <si>
    <t>kendaraan_data = {
    'Type':   ['CDD', 'CDE', 'GrandMax'],
    'Volume': [280, 200, 120],
    'BBM':    ['biosolar', 'biosolar', 'pertalite'],
    'Cons':   [4, 7, 8]
}
kendaraan = pd.DataFrame(kendaraan_data)
harga_bbm = {'biosolar': 6800, 'pertalite': 10000}</t>
  </si>
  <si>
    <t>🎲  Bagian 2: Variabel Keputusan</t>
  </si>
  <si>
    <t>x[k,j,t]: biner → kendaraan k mengirim ke tujuan j pada trip ke-t
y[k,j,t]: integer → jumlah boks yang dikirim kendaraan k ke j pada trip t
z[k,i]:   biner → apakah kendaraan jenis k unit ke-i dipakai</t>
  </si>
  <si>
    <t>x = m.addVars(...,  vtype=GRB.BINARY,  name="x")
y = m.addVars(...,  vtype=GRB.INTEGER, name="y")
z = m.addVars(...,  vtype=GRB.BINARY,  name="z")</t>
  </si>
  <si>
    <t>🎯  Bagian 3: Fungsi Tujuan (Objective)</t>
  </si>
  <si>
    <t>Minimasi total biaya = Biaya BBM + Biaya penambahan kendaraan.
BIAYA BBM per trip:
   = 2 × (Jarak / Konsumsi) × Harga BBM
Faktor 2 untuk perjalanan PULANG-PERGI.</t>
  </si>
  <si>
    <t>obj = gp.LinExpr()
# Biaya BBM
for k_row in kendaraan.itertuples():
    for j_row in tujuan.itertuples():
        for t in range(MAX_TRIPS):
            jarak = j_row.Jarak
            konsumsi = k_row.Cons
            bbm = harga_bbm[k_row.BBM]
            biaya_per_trip = 2*(jarak/konsumsi)*bbm  # 2x PP
            obj += biaya_per_trip * x[(k_row.Type, j_row.ID_Tujuan, t)]
# Biaya penambahan kendaraan
for k_row in kendaraan.itertuples():
    for i in range(1, 20):
        obj += biaya_kendaraan[k_row.Type] * z[(k_row.Type, i)]
m.setObjective(obj, GRB.MINIMIZE)</t>
  </si>
  <si>
    <t>⛔  Bagian 4: Pembatasan (Constraints)</t>
  </si>
  <si>
    <t>(a) DEMAND HARUS TERPENUHI
Total boks yang dikirim ke tujuan j selama seluruh trip ≥ demand di j.</t>
  </si>
  <si>
    <t>for j_row in tujuan.itertuples():
    m.addConstr(
        gp.quicksum(y[(k.Type, j_row.ID_Tujuan, t)]
            for k in kendaraan.itertuples()
            for t in range(MAX_TRIPS)) &gt;= j_row.Demand,
        name=f"demand_{j_row.ID_Tujuan}"
    )</t>
  </si>
  <si>
    <t>(b) KAPASITAS KENDARAAN
Boks yang dikirim ≤ kapasitas kendaraan × jumlah trip.</t>
  </si>
  <si>
    <t>for k_row in kendaraan.itertuples():
    for j in tujuan['ID_Tujuan']:
        for t in range(MAX_TRIPS):
            m.addConstr(
                y[(k_row.Type, j, t)] &lt;= kendaraan.loc[k_row.Index,'Volume'] * x[(k_row.Type, j, t)],
                name=f"kapasitas_{k_row.Type}_{j}_trip{t}"
            )</t>
  </si>
  <si>
    <t>(c) KAPASITAS GUDANG PER TRIP
Total boks dalam satu trip ≤ kapasitas gudang asal.</t>
  </si>
  <si>
    <t>for t in range(MAX_TRIPS):
    m.addConstr(
        gp.quicksum(y[(k.Type, j, t)]
            for k in kendaraan.itertuples()
            for j in tujuan['ID_Tujuan']) &lt;= 2920,  # contoh: kap. gudang Makassar
        name=f"gudang_trip{t}"
    )</t>
  </si>
  <si>
    <t>(d) AKTIVASI KENDARAAN
x[k,j,t] hanya aktif kalau ada kendaraan jenis k yang dipakai (z=1).</t>
  </si>
  <si>
    <t>for k in kendaraan['Type']:
    for j in tujuan['ID_Tujuan']:
        for t in range(MAX_TRIPS):
            m.addConstr(
                x[(k, j, t)] &lt;= gp.quicksum(z[(k, i)] for i in range(1, 20)),
                name=f"use_vehicle_{k}_{j}_trip{t}"
            )</t>
  </si>
  <si>
    <t>(e) 🧑‍💼 HUMAN-CENTRIC — PEMBATAS JUMLAH TRIP
Setiap kendaraan max 26 trip per bulan.
Detail rumus T_k lihat sheet "Jumlah Trip Maksimal".
Filosofi: jam kerja driver dibatasi 26 hari × 8 jam = 208 jam/bulan.</t>
  </si>
  <si>
    <t>for k in kendaraan['Type']:
    for i in range(1, 20):
        for t in range(MAX_TRIPS):
            m.addConstr(
                gp.quicksum(x[(k, j, t)] for j in tujuan['ID_Tujuan']) &lt;= 26 * z[(k, i)],
                name=f"max_trips_{k}_v{i}_t{t}"
            )</t>
  </si>
  <si>
    <t>✅  Bagian 5: Penyelesaian (Solve)</t>
  </si>
  <si>
    <t>Jalankan solver Gurobi dan ekstrak hasil:
• Total biaya minimum (Z₂)
• Daftar rute (kendaraan → tujuan → trip)
• Jumlah kendaraan per jenis yang dipakai</t>
  </si>
  <si>
    <t>m.optimize()
if m.status == GRB.OPTIMAL:
    print("Total Biaya:", m.ObjVal)
    for k, j, t in x:
        if x[(k, j, t)].X &gt; 0.5:
            print(f"Kendaraan {k} kirim {int(y[(k,j,t)].X)} boks ke {j} trip-{t+1}")
    kendaraan_digunakan = {}
    for k_row in kendaraan.itertuples():
        for i in range(1, 20):
            if z[(k_row.Type, i)].X &gt; 0.5:
                kendaraan_digunakan[k_row.Type] = kendaraan_digunakan.get(k_row.Type, 0) + 1
    for tipe, count in kendaraan_digunakan.items():
        print(f"{tipe}: {count} kendaraan")</t>
  </si>
  <si>
    <t>🐍  KODE GUROBI — FIRST MILE (Karawang → Direct CPU/DC)</t>
  </si>
  <si>
    <t>Source: Kode_Guroby-Phyton_FirstMile.pdf — 2 blok: Sulawesi/Kalimantan dan BaliNusra</t>
  </si>
  <si>
    <t>📦  BLOK 1: First Mile Sulawesi &amp; Kalimantan</t>
  </si>
  <si>
    <t># ============================================================</t>
  </si>
  <si>
    <t># KODE FIRST MILE — Sulawesi dan Kalimantan</t>
  </si>
  <si>
    <t>import gurobipy as gp</t>
  </si>
  <si>
    <t>from gurobipy import Model, GRB, quicksum</t>
  </si>
  <si>
    <t>import pandas as pd</t>
  </si>
  <si>
    <t>import math</t>
  </si>
  <si>
    <t xml:space="preserve"> </t>
  </si>
  <si>
    <t># --- 1. Data Permintaan (THROUGHPUT = local + forward via Middle Mile) ---</t>
  </si>
  <si>
    <t>df_demand = pd.DataFrame([</t>
  </si>
  <si>
    <t xml:space="preserve">    ['Kendari',      'DC032', 'Direct CPU', 14736],</t>
  </si>
  <si>
    <t xml:space="preserve">    ['Makassar',     'DC034', 'Direct CPU', 62670],</t>
  </si>
  <si>
    <t xml:space="preserve">    ['Manado',       'DC035', 'Direct CPU', 25418],</t>
  </si>
  <si>
    <t xml:space="preserve">    ['Palu',         'DC036', 'Direct CPU', 23275],</t>
  </si>
  <si>
    <t xml:space="preserve">    ['Balikpapan',   'DC037', 'Direct DC',  21193],</t>
  </si>
  <si>
    <t xml:space="preserve">    ['Banjarmasin',  'DC038', 'Direct DC',  47169],</t>
  </si>
  <si>
    <t xml:space="preserve">    ['Berau',        'DC039', 'Direct DC',   2879],</t>
  </si>
  <si>
    <t xml:space="preserve">    ['Bontang',      'DC040', 'Direct DC',   3340],</t>
  </si>
  <si>
    <t xml:space="preserve">    ['Palangkaraya', 'DC041', 'Direct DC',   9255],</t>
  </si>
  <si>
    <t xml:space="preserve">    ['Pontianak',    'DC042', 'Direct DC',  18499],</t>
  </si>
  <si>
    <t xml:space="preserve">    ['Samarinda',    'DC043', 'Direct DC',  11295],</t>
  </si>
  <si>
    <t xml:space="preserve">    ['Sampit',       'DC044', 'Direct DC',  10601],</t>
  </si>
  <si>
    <t xml:space="preserve">    ['Tarakan',      'DC045', 'Direct DC',  12523],</t>
  </si>
  <si>
    <t>], columns=['Area', 'ID', 'Type', 'Demand'])</t>
  </si>
  <si>
    <t># --- 2. Data Kapasitas Kontainer ---</t>
  </si>
  <si>
    <t>df_kapasitas = pd.DataFrame([</t>
  </si>
  <si>
    <t xml:space="preserve">    ['40FT',     2360],</t>
  </si>
  <si>
    <t xml:space="preserve">    ['Build Up', 1600],</t>
  </si>
  <si>
    <t xml:space="preserve">    ['20FT',     1160],</t>
  </si>
  <si>
    <t xml:space="preserve">    ['FUSO',      880],</t>
  </si>
  <si>
    <t xml:space="preserve">    ['CDD',       280],</t>
  </si>
  <si>
    <t>], columns=['Type', 'Volume'])</t>
  </si>
  <si>
    <t># --- 3. Data Biaya (Rate T&amp;W) ---</t>
  </si>
  <si>
    <t>df_biaya = pd.DataFrame([</t>
  </si>
  <si>
    <t xml:space="preserve">    ['Sulawesi',   'DC034', 'Makassar',     'Direct CPU', '40FT',     '17000000'],</t>
  </si>
  <si>
    <t xml:space="preserve">    ['Sulawesi',   'DC032', 'Kendari',      'Direct CPU', '40FT',     '28460000'],</t>
  </si>
  <si>
    <t xml:space="preserve">    ['Sulawesi',   'DC032', 'Kendari',      'Direct CPU', '20FT',     '17200000'],</t>
  </si>
  <si>
    <t xml:space="preserve">    ['Sulawesi',   'DC036', 'Palu',         'Direct CPU', '40FT',     '17250000'],</t>
  </si>
  <si>
    <t xml:space="preserve">    ['Sulawesi',   'DC036', 'Palu',         'Direct CPU', '20FT',     '10850000'],</t>
  </si>
  <si>
    <t xml:space="preserve">    ['Sulawesi',   'DC035', 'Manado',       'Direct CPU', '40FT',     '21900000'],</t>
  </si>
  <si>
    <t xml:space="preserve">    ['Sulawesi',   'DC035', 'Manado',       'Direct CPU', '20FT',     '13200000'],</t>
  </si>
  <si>
    <t xml:space="preserve">    ['Kalimantan', 'DC037', 'Balikpapan',   'Direct DC',  '40FT',     '18628871.12'],</t>
  </si>
  <si>
    <t xml:space="preserve">    ['Kalimantan', 'DC037', 'Balikpapan',   'Direct DC',  '20FT',      '9803979.33'],</t>
  </si>
  <si>
    <t xml:space="preserve">    ['Kalimantan', 'DC038', 'Banjarmasin',  'Direct DC',  '40FT',     '14339078.77'],</t>
  </si>
  <si>
    <t xml:space="preserve">    ['Kalimantan', 'DC038', 'Banjarmasin',  'Direct DC',  '20FT',     '11347313.72'],</t>
  </si>
  <si>
    <t xml:space="preserve">    ['Kalimantan', 'DC039', 'Berau',        'Direct DC',  '20FT',     '15072449.28'],</t>
  </si>
  <si>
    <t xml:space="preserve">    ['Kalimantan', 'DC040', 'Bontang',      'Direct DC',  '20FT',     '17970148.72'],</t>
  </si>
  <si>
    <t xml:space="preserve">    ['Kalimantan', 'DC041', 'Palangkaraya', 'Direct DC',  '40FT',     '22922776.60'],</t>
  </si>
  <si>
    <t xml:space="preserve">    ['Kalimantan', 'DC041', 'Palangkaraya', 'Direct DC',  '20FT',     '13938807.61'],</t>
  </si>
  <si>
    <t xml:space="preserve">    ['Kalimantan', 'DC042', 'Pontianak',    'Direct DC',  '40FT',     '17280488.57'],</t>
  </si>
  <si>
    <t xml:space="preserve">    ['Kalimantan', 'DC043', 'Samarinda',    'Direct DC',  '40FT',     '22485625'],</t>
  </si>
  <si>
    <t xml:space="preserve">    ['Kalimantan', 'DC043', 'Samarinda',    'Direct DC',  '20FT',     '10885317'],</t>
  </si>
  <si>
    <t xml:space="preserve">    ['Kalimantan', 'DC044', 'Sampit',       'Direct DC',  '40FT',     '25299677.42'],</t>
  </si>
  <si>
    <t xml:space="preserve">    ['Kalimantan', 'DC044', 'Sampit',       'Direct DC',  '20FT',     '13678136.73'],</t>
  </si>
  <si>
    <t xml:space="preserve">    ['Kalimantan', 'DC045', 'Tarakan',      'Direct DC',  '40FT',     '28132859.75'],</t>
  </si>
  <si>
    <t xml:space="preserve">    ['Kalimantan', 'DC045', 'Tarakan',      'Direct DC',  '20FT',     '16174145.27'],</t>
  </si>
  <si>
    <t>], columns=['Distributor Area', 'ID', 'Area', 'Type', 'Container', 'Rate'])</t>
  </si>
  <si>
    <t># -- Preprocessing --</t>
  </si>
  <si>
    <t>df_biaya['Rate'] = df_biaya['Rate'].astype(float)</t>
  </si>
  <si>
    <t>costs    = {(row['Container'], row['Area']): row['Rate'] for _, row in df_biaya.iterrows()}</t>
  </si>
  <si>
    <t>capacity = dict(zip(df_kapasitas['Type'], df_kapasitas['Volume']))</t>
  </si>
  <si>
    <t>demand   = dict(zip(df_demand['Area'], df_demand['Demand']))</t>
  </si>
  <si>
    <t>vehicles = df_kapasitas['Type'].tolist()</t>
  </si>
  <si>
    <t>areas    = df_demand['Area'].tolist()</t>
  </si>
  <si>
    <t>available_combinations = list(costs.keys())</t>
  </si>
  <si>
    <t># -- Build model --</t>
  </si>
  <si>
    <t>m = Model("Optimisasi_Pengiriman")</t>
  </si>
  <si>
    <t>x      = m.addVars(available_combinations, vtype=GRB.INTEGER,    name="Jumlah_Kendaraan")</t>
  </si>
  <si>
    <t>muatan = m.addVars(available_combinations, vtype=GRB.CONTINUOUS, name="Muatan")</t>
  </si>
  <si>
    <t>trips  = m.addVars(areas, vtype=GRB.INTEGER, name="Trips")</t>
  </si>
  <si>
    <t># Objective: Minimize total cost</t>
  </si>
  <si>
    <t>m.setObjective(</t>
  </si>
  <si>
    <t xml:space="preserve">    quicksum(costs[v, a] * x[v, a] for v, a in available_combinations),</t>
  </si>
  <si>
    <t xml:space="preserve">    GRB.MINIMIZE</t>
  </si>
  <si>
    <t>)</t>
  </si>
  <si>
    <t># LP Relaxation untuk Reduced Cost &amp; Shadow Price</t>
  </si>
  <si>
    <t>print("\n&gt;&gt; LP Relaxation Analysis")</t>
  </si>
  <si>
    <t>lp_model = m.relax()</t>
  </si>
  <si>
    <t>lp_model.optimize()</t>
  </si>
  <si>
    <t># Constraints</t>
  </si>
  <si>
    <t>for a in areas:</t>
  </si>
  <si>
    <t xml:space="preserve">    m.addConstr(</t>
  </si>
  <si>
    <t xml:space="preserve">        quicksum(muatan[v, a] for v in vehicles if (v, a) in available_combinations) &gt;= demand[a],</t>
  </si>
  <si>
    <t xml:space="preserve">        name=f"Demand_{a}"</t>
  </si>
  <si>
    <t xml:space="preserve">    )</t>
  </si>
  <si>
    <t>for v, a in available_combinations:</t>
  </si>
  <si>
    <t xml:space="preserve">    m.addConstr(muatan[v, a] &lt;= x[v, a] * capacity[v], name=f"Kapasitas_{v}_{a}")</t>
  </si>
  <si>
    <t># Optimize</t>
  </si>
  <si>
    <t>m.optimize()</t>
  </si>
  <si>
    <t># Output</t>
  </si>
  <si>
    <t>print("\n--- Hasil Pengiriman Optimal ---\n")</t>
  </si>
  <si>
    <t xml:space="preserve">    if x[v, a].X &gt; 0:</t>
  </si>
  <si>
    <t xml:space="preserve">        print(f"{int(x[v, a].X)} kendaraan tipe {v} dikirim ke {a}, total muatan: {int(muatan[v, a].X)}")</t>
  </si>
  <si>
    <t>print(f"\nTotal Biaya Pengiriman: Rp{int(m.ObjVal):,}".replace(",", "."))</t>
  </si>
  <si>
    <t># Reduced Cost &amp; Shadow Price</t>
  </si>
  <si>
    <t>print("\n&gt;&gt; Variabel dan Reduced Cost (LP Relaxation):")</t>
  </si>
  <si>
    <t>for v in lp_model.getVars():</t>
  </si>
  <si>
    <t xml:space="preserve">    print(f"{v.VarName:25} Value = {v.X:6.2f}, Reduced Cost = {v.RC:6.2f}")</t>
  </si>
  <si>
    <t>print("\n&gt;&gt; Kendala dan Shadow Price (Dual Values):")</t>
  </si>
  <si>
    <t>for c in lp_model.getConstrs():</t>
  </si>
  <si>
    <t xml:space="preserve">    print(f"{c.ConstrName:25} Slack = {c.Slack:6.2f}, Shadow Price = {c.Pi:6.2f}")</t>
  </si>
  <si>
    <t>🌴  BLOK 2: First Mile BaliNusra</t>
  </si>
  <si>
    <t># KODE FIRST MILE — BaliNusra</t>
  </si>
  <si>
    <t># --- Data Demand (THROUGHPUT) ---</t>
  </si>
  <si>
    <t xml:space="preserve">    ['Denpasar', 'DC031', 'Direct CPU', 28496],</t>
  </si>
  <si>
    <t xml:space="preserve">    ['Lombok',   'DC033', 'Direct CPU', 37767],</t>
  </si>
  <si>
    <t># --- Data Kapasitas Kontainer ---</t>
  </si>
  <si>
    <t># --- Data Biaya ---</t>
  </si>
  <si>
    <t xml:space="preserve">    ['Bali Nusra', 'DC031', 'Denpasar', 'Direct CPU', 'Build Up', '12150000'],</t>
  </si>
  <si>
    <t xml:space="preserve">    ['Bali Nusra', 'DC031', 'Denpasar', 'Direct CPU', 'FUSO',      '8700000'],</t>
  </si>
  <si>
    <t xml:space="preserve">    ['Bali Nusra', 'DC033', 'Lombok',   'Direct CPU', 'Build Up', '21440000'],</t>
  </si>
  <si>
    <t xml:space="preserve">    ['Bali Nusra', 'DC033', 'Lombok',   'Direct CPU', 'FUSO',     '16240000'],</t>
  </si>
  <si>
    <t xml:space="preserve">    ['Bali Nusra', 'DC033', 'Lombok',   'Direct CPU', 'CDD',      '12100000'],</t>
  </si>
  <si>
    <t># Preprocessing</t>
  </si>
  <si>
    <t># Build model</t>
  </si>
  <si>
    <t># Objective</t>
  </si>
  <si>
    <t># LP Relaxation</t>
  </si>
  <si>
    <t>🐍  KODE GUROBI — MIDDLE MILE (Direct CPU/DC → Indirect DC/Depo)</t>
  </si>
  <si>
    <t>Source: KODE_MIDDLE_MILE.pdf — 14 blok per hub. Tiap blok = ILP terpisah per hub.</t>
  </si>
  <si>
    <t>🚚  BLOK 1: Banjarmasin → Barabai, Batu Licin, Rantau  (max trip/kendaraan: 46)</t>
  </si>
  <si>
    <t># Middle Mile: Banjarmasin → Barabai, Batu Licin, Rantau</t>
  </si>
  <si>
    <t># --- Data ---</t>
  </si>
  <si>
    <t>kendaraan = ['CDD', 'CDE', 'GrandMax', 'Kijang']</t>
  </si>
  <si>
    <t>daerah    = ['Barabai', 'Batu Licin', 'Rantau']</t>
  </si>
  <si>
    <t>jarak     = {'Barabai': 1046.393, 'Batu Licin': 924.619, 'Rantau': 179.485}</t>
  </si>
  <si>
    <t>biaya_bbm = {</t>
  </si>
  <si>
    <t xml:space="preserve">    'CDD': {'Barabai': 246238.2, 'Batu Licin': 345288.7, 'Rantau': 160248.8},</t>
  </si>
  <si>
    <t xml:space="preserve">    'CDE': {'Barabai': 140707.5429, 'Batu Licin': 197307.8286, 'Rantau': 91570.74286},</t>
  </si>
  <si>
    <t xml:space="preserve">    'GrandMax': {'Barabai': 181057.5, 'Batu Licin': 253888.75, 'Rantau': 117830},</t>
  </si>
  <si>
    <t xml:space="preserve">    'Kijang': {'Barabai': 144846, 'Batu Licin': 203111, 'Rantau': 94264},</t>
  </si>
  <si>
    <t>}</t>
  </si>
  <si>
    <t>biaya_kendaraan      = {'CDD': 13853970, 'CDE': 6560843.333, 'GrandMax': 6560843.333, 'Kijang': 6560843.333}</t>
  </si>
  <si>
    <t>kapasitas_kendaraan  = {'CDD': 280, 'CDE': 200, 'GrandMax': 120, 'Kijang': 80}</t>
  </si>
  <si>
    <t>demand               = {'Barabai': 12496, 'Batu Licin': 7766, 'Rantau': 4287}</t>
  </si>
  <si>
    <t>kapasitas_max_per_trip = 5280</t>
  </si>
  <si>
    <t>MAX_TRIP_PER_VEHICLE  = 46  # 🧑‍💼 HUMAN-CENTRIC constraint</t>
  </si>
  <si>
    <t># --- Model ---</t>
  </si>
  <si>
    <t>m = Model("Vehicle_Optimization")</t>
  </si>
  <si>
    <t># Variabel keputusan</t>
  </si>
  <si>
    <t>x      = m.addVars(kendaraan, daerah, vtype=GRB.INTEGER,    name="Vehicles")  # jumlah kendaraan</t>
  </si>
  <si>
    <t>t      = m.addVars(kendaraan, daerah, vtype=GRB.INTEGER,    name="Trips")     # jumlah trip</t>
  </si>
  <si>
    <t>muatan = m.addVars(kendaraan, daerah, vtype=GRB.CONTINUOUS, name="Load")      # boks dikirim</t>
  </si>
  <si>
    <t># Fungsi objektif: BBM (×2 PP) + Sewa kendaraan</t>
  </si>
  <si>
    <t>m.setObjective(quicksum(</t>
  </si>
  <si>
    <t xml:space="preserve">    biaya_bbm[k][d] * t[k, d] * 2 + biaya_kendaraan[k] * x[k, d]</t>
  </si>
  <si>
    <t xml:space="preserve">    for k in kendaraan for d in daerah</t>
  </si>
  <si>
    <t>), GRB.MINIMIZE)</t>
  </si>
  <si>
    <t>for d in daerah:</t>
  </si>
  <si>
    <t xml:space="preserve">    m.addConstr(quicksum(muatan[k, d] for k in kendaraan) &gt;= demand[d], f"Demand_{d}")</t>
  </si>
  <si>
    <t>for k in kendaraan:</t>
  </si>
  <si>
    <t xml:space="preserve">    for d in daerah:</t>
  </si>
  <si>
    <t xml:space="preserve">        m.addConstr(muatan[k, d] &lt;= kapasitas_max_per_trip * t[k, d], f"MaxPerTrip_{k}_{d}")</t>
  </si>
  <si>
    <t xml:space="preserve">        m.addConstr(t[k, d] &lt;= 46 * x[k, d], f"MaxTrips_{k}_{d}")  # 🧑‍💼 human-centric</t>
  </si>
  <si>
    <t xml:space="preserve">        m.addConstr(muatan[k, d] &lt;= kapasitas_kendaraan[k] * t[k, d], f"VehicleCapacity_{k}_{d}")</t>
  </si>
  <si>
    <t xml:space="preserve">        m.addConstr(t[k, d] &gt;= 0)</t>
  </si>
  <si>
    <t xml:space="preserve">        m.addConstr(muatan[k, d] &gt;= 0)</t>
  </si>
  <si>
    <t># Optimasi</t>
  </si>
  <si>
    <t>if m.status == GRB.OPTIMAL:</t>
  </si>
  <si>
    <t xml:space="preserve">    print("\nHasil Optimasi:")</t>
  </si>
  <si>
    <t xml:space="preserve">    total_bbm = 0</t>
  </si>
  <si>
    <t xml:space="preserve">    for k in kendaraan:</t>
  </si>
  <si>
    <t xml:space="preserve">        for d in daerah:</t>
  </si>
  <si>
    <t xml:space="preserve">            trips = int(t[k, d].x)</t>
  </si>
  <si>
    <t xml:space="preserve">            if trips &gt; 0:</t>
  </si>
  <si>
    <t xml:space="preserve">                biaya = biaya_bbm[k][d] * trips</t>
  </si>
  <si>
    <t xml:space="preserve">                total_bbm += biaya</t>
  </si>
  <si>
    <t xml:space="preserve">                print(f"{k} ke {d}: {int(x[k,d].x)} kendaraan, {trips} trip, "</t>
  </si>
  <si>
    <t xml:space="preserve">                      f"{int(muatan[k,d].x)} boks, BBM Rp{biaya:,.0f}")</t>
  </si>
  <si>
    <t xml:space="preserve">    print(f"\nTotal Biaya: Rp{m.objVal:,.0f}")</t>
  </si>
  <si>
    <t>🚚  BLOK 2: Lombok → Kupang, Maumere, Sumbawa, Bima  (max trip/kendaraan: 8)</t>
  </si>
  <si>
    <t># Middle Mile: Lombok → Kupang, Maumere, Sumbawa, Bima</t>
  </si>
  <si>
    <t>kendaraan = ['CDD', 'CDE', 'GrandMax']</t>
  </si>
  <si>
    <t>daerah    = ['Kupang', 'Maumere', 'Sumbawa', 'Bima']</t>
  </si>
  <si>
    <t>jarak     = {'Kupang': 1046.393, 'Maumere': 924.619, 'Sumbawa': 179.485, 'Bima': 440.971}</t>
  </si>
  <si>
    <t xml:space="preserve">    'CDD': {'Kupang': 1778868.1, 'Maumere': 1571852.3, 'Sumbawa': 305124.5, 'Bima': 749650.7},</t>
  </si>
  <si>
    <t xml:space="preserve">    'CDE': {'Kupang': 1016496.057, 'Maumere': 898201.3143, 'Sumbawa': 174356.8571, 'Bima': 428371.8286},</t>
  </si>
  <si>
    <t xml:space="preserve">    'GrandMax': {'Kupang': 1307991.25, 'Maumere': 1155773.75, 'Sumbawa': 224356.25, 'Bima': 551213.75},</t>
  </si>
  <si>
    <t>biaya_kendaraan      = {'CDD': 6900000, 'CDE': 5500000, 'GrandMax': 3500000}</t>
  </si>
  <si>
    <t>kapasitas_kendaraan  = {'CDD': 280, 'CDE': 200, 'GrandMax': 120}</t>
  </si>
  <si>
    <t>demand               = {'Kupang': 8540, 'Maumere': 2709, 'Sumbawa': 3519, 'Bima': 5783}</t>
  </si>
  <si>
    <t>kapasitas_max_per_trip = 1600</t>
  </si>
  <si>
    <t>MAX_TRIP_PER_VEHICLE  = 8  # 🧑‍💼 HUMAN-CENTRIC constraint</t>
  </si>
  <si>
    <t xml:space="preserve">        m.addConstr(t[k, d] &lt;= 8 * x[k, d], f"MaxTrips_{k}_{d}")  # 🧑‍💼 human-centric</t>
  </si>
  <si>
    <t>🚚  BLOK 3: Bontang → Bontang-Sangata  (max trip/kendaraan: 158)</t>
  </si>
  <si>
    <t># Middle Mile: Bontang → Bontang-Sangata</t>
  </si>
  <si>
    <t>daerah    = ['Bontang-Sangata']</t>
  </si>
  <si>
    <t>jarak     = {'Bontang-Sangata': 59.2}</t>
  </si>
  <si>
    <t xml:space="preserve">    'CDD': {'Bontang-Sangata': 100640},</t>
  </si>
  <si>
    <t xml:space="preserve">    'CDE': {'Bontang-Sangata': 57508.57143},</t>
  </si>
  <si>
    <t xml:space="preserve">    'GrandMax': {'Bontang-Sangata': 74000},</t>
  </si>
  <si>
    <t xml:space="preserve">    'Kijang': {'Bontang-Sangata': 59200},</t>
  </si>
  <si>
    <t>demand               = {'Bontang-Sangata': 1330}</t>
  </si>
  <si>
    <t>MAX_TRIP_PER_VEHICLE  = 158  # 🧑‍💼 HUMAN-CENTRIC constraint</t>
  </si>
  <si>
    <t xml:space="preserve">        m.addConstr(t[k, d] &lt;= 158 * x[k, d], f"MaxTrips_{k}_{d}")  # 🧑‍💼 human-centric</t>
  </si>
  <si>
    <t>🚚  BLOK 4: Palangkaraya → Ampah  (max trip/kendaraan: 27)</t>
  </si>
  <si>
    <t># Middle Mile: Palangkaraya → Ampah</t>
  </si>
  <si>
    <t>daerah    = ['Ampah']</t>
  </si>
  <si>
    <t>jarak     = {'Ampah': 343.092}</t>
  </si>
  <si>
    <t xml:space="preserve">    'CDD': {'Ampah': 583256.4},</t>
  </si>
  <si>
    <t xml:space="preserve">    'CDE': {'Ampah': 333289.3714},</t>
  </si>
  <si>
    <t xml:space="preserve">    'GrandMax': {'Ampah': 428865},</t>
  </si>
  <si>
    <t xml:space="preserve">    'Kijang': {'Ampah': 343092},</t>
  </si>
  <si>
    <t>demand               = {'Ampah': 4623}</t>
  </si>
  <si>
    <t>kapasitas_max_per_trip = 1040</t>
  </si>
  <si>
    <t>MAX_TRIP_PER_VEHICLE  = 27  # 🧑‍💼 HUMAN-CENTRIC constraint</t>
  </si>
  <si>
    <t xml:space="preserve">        m.addConstr(t[k, d] &lt;= 27 * x[k, d], f"MaxTrips_{k}_{d}")  # 🧑‍💼 human-centric</t>
  </si>
  <si>
    <t>🚚  BLOK 5: Pontianak → Ketapang, Singkawang, Sintang  (max trip/kendaraan: 26)</t>
  </si>
  <si>
    <t># Middle Mile: Pontianak → Ketapang, Singkawang, Sintang</t>
  </si>
  <si>
    <t>daerah    = ['Ketapang', 'Singkawang', 'Sintang']</t>
  </si>
  <si>
    <t>jarak     = {'Ketapang': 352.4, 'Singkawang': 151.0, 'Sintang': 321.0}</t>
  </si>
  <si>
    <t xml:space="preserve">    'CDD': {'Ketapang': 599080, 'Singkawang': 256700, 'Sintang': 545700},</t>
  </si>
  <si>
    <t xml:space="preserve">    'CDE': {'Ketapang': 342331.4286, 'Singkawang': 146685.7143, 'Sintang': 311828.5714},</t>
  </si>
  <si>
    <t xml:space="preserve">    'GrandMax': {'Ketapang': 440500, 'Singkawang': 188750, 'Sintang': 401250},</t>
  </si>
  <si>
    <t xml:space="preserve">    'Kijang': {'Ketapang': 352400, 'Singkawang': 151000, 'Sintang': 321000},</t>
  </si>
  <si>
    <t>demand               = {'Ketapang': 3313, 'Singkawang': 3964, 'Sintang': 2845}</t>
  </si>
  <si>
    <t>MAX_TRIP_PER_VEHICLE  = 26  # 🧑‍💼 HUMAN-CENTRIC constraint</t>
  </si>
  <si>
    <t xml:space="preserve">        m.addConstr(t[k, d] &lt;= 26 * x[k, d], f"MaxTrips_{k}_{d}")  # 🧑‍💼 human-centric</t>
  </si>
  <si>
    <t>🚚  BLOK 6: Sampit → Pangkalanbun  (max trip/kendaraan: 44)</t>
  </si>
  <si>
    <t># Middle Mile: Sampit → Pangkalanbun</t>
  </si>
  <si>
    <t>daerah    = ['Pangkalanbun']</t>
  </si>
  <si>
    <t>jarak     = {'Pangkalanbun': 212.077}</t>
  </si>
  <si>
    <t xml:space="preserve">    'CDD': {'Pangkalanbun': 360531},</t>
  </si>
  <si>
    <t xml:space="preserve">    'CDE': {'Pangkalanbun': 205989.1},</t>
  </si>
  <si>
    <t xml:space="preserve">    'GrandMax': {'Pangkalanbun': 265096.25},</t>
  </si>
  <si>
    <t xml:space="preserve">    'Kijang': {'Pangkalanbun': 212077},</t>
  </si>
  <si>
    <t>demand               = {'Pangkalanbun': 6285}</t>
  </si>
  <si>
    <t>kapasitas_max_per_trip = 1000</t>
  </si>
  <si>
    <t>MAX_TRIP_PER_VEHICLE  = 44  # 🧑‍💼 HUMAN-CENTRIC constraint</t>
  </si>
  <si>
    <t xml:space="preserve">        m.addConstr(t[k, d] &lt;= 44 * x[k, d], f"MaxTrips_{k}_{d}")  # 🧑‍💼 human-centric</t>
  </si>
  <si>
    <t>🚚  BLOK 7: Kendari → Kolaka, Unaaha, Bau-Bau  (max trip/kendaraan: 33)</t>
  </si>
  <si>
    <t># Middle Mile: Kendari → Kolaka, Unaaha, Bau-Bau</t>
  </si>
  <si>
    <t>daerah    = ['Kolaka', 'Unaaha', 'Bau-Bau']</t>
  </si>
  <si>
    <t>jarak     = {'Kolaka': 154.22, 'Unaaha': 13.78, 'Bau-Bau': 275.58}</t>
  </si>
  <si>
    <t xml:space="preserve">    'CDD': {'Kolaka': 262174, 'Unaaha': 23426, 'Bau-Bau': 468486},</t>
  </si>
  <si>
    <t xml:space="preserve">    'CDE': {'Kolaka': 149813.7143, 'Unaaha': 13386.28571, 'Bau-Bau': 267706.2857},</t>
  </si>
  <si>
    <t xml:space="preserve">    'GrandMax': {'Kolaka': 192775, 'Unaaha': 17225, 'Bau-Bau': 344475},</t>
  </si>
  <si>
    <t>demand               = {'Kolaka': 3579, 'Unaaha': 2181, 'Bau-Bau': 2724}</t>
  </si>
  <si>
    <t>kapasitas_max_per_trip = 1640</t>
  </si>
  <si>
    <t>MAX_TRIP_PER_VEHICLE  = 33  # 🧑‍💼 HUMAN-CENTRIC constraint</t>
  </si>
  <si>
    <t xml:space="preserve">        m.addConstr(t[k, d] &lt;= 33 * x[k, d], f"MaxTrips_{k}_{d}")  # 🧑‍💼 human-centric</t>
  </si>
  <si>
    <t>🚚  BLOK 8: Manado → Amurang, Bitung, Kotamobagu, Tomohon, Gorontalo  (max trip/kendaraan: 23)</t>
  </si>
  <si>
    <t># Middle Mile: Manado → Amurang, Bitung, Kotamobagu, Tomohon, Gorontalo</t>
  </si>
  <si>
    <t>daerah    = ['Amurang', 'Bitung', 'Kotamobagu', 'Tomohon', 'Gorontalo']</t>
  </si>
  <si>
    <t>jarak     = {'Amurang': 55.4, 'Bitung': 47.8, 'Kotamobagu': 170.45, 'Tomohon': 35.19, 'Gorontalo': 396.91}</t>
  </si>
  <si>
    <t xml:space="preserve">    'CDD': {'Amurang': 94180, 'Bitung': 81260, 'Kotamobagu': 289765, 'Tomohon': 59823, 'Gorontalo': 674747},</t>
  </si>
  <si>
    <t xml:space="preserve">    'CDE': {'Amurang': 53817.14286, 'Bitung': 46434.28571, 'Kotamobagu': 165580, 'Tomohon': 34184.57143, 'Gorontalo': 385569.7143},</t>
  </si>
  <si>
    <t xml:space="preserve">    'GrandMax': {'Amurang': 69250, 'Bitung': 59750, 'Kotamobagu': 213062.5, 'Tomohon': 43987.5, 'Gorontalo': 496137.5},</t>
  </si>
  <si>
    <t>demand               = {'Amurang': 1729, 'Bitung': 2269, 'Kotamobagu': 3692, 'Tomohon': 2088, 'Gorontalo': 8017}</t>
  </si>
  <si>
    <t>kapasitas_max_per_trip = 3400</t>
  </si>
  <si>
    <t>MAX_TRIP_PER_VEHICLE  = 23  # 🧑‍💼 HUMAN-CENTRIC constraint</t>
  </si>
  <si>
    <t xml:space="preserve">        m.addConstr(t[k, d] &lt;= 23 * x[k, d], f"MaxTrips_{k}_{d}")  # 🧑‍💼 human-centric</t>
  </si>
  <si>
    <t>🚚  BLOK 9: Palu → Parigi, Luwuk, Mamuju, Poso  (max trip/kendaraan: 15)</t>
  </si>
  <si>
    <t># Middle Mile: Palu → Parigi, Luwuk, Mamuju, Poso</t>
  </si>
  <si>
    <t>daerah    = ['Parigi', 'Luwuk', 'Mamuju', 'Poso']</t>
  </si>
  <si>
    <t>jarak     = {'Parigi': 71.72, 'Luwuk': 589.5, 'Mamuju': 406.82, 'Poso': 206.67}</t>
  </si>
  <si>
    <t xml:space="preserve">    'CDD': {'Parigi': 121924, 'Luwuk': 1002150, 'Mamuju': 691594, 'Poso': 351339},</t>
  </si>
  <si>
    <t xml:space="preserve">    'CDE': {'Parigi': 69670.85714, 'Luwuk': 572657.1429, 'Mamuju': 395196.5714, 'Poso': 200765.1429},</t>
  </si>
  <si>
    <t xml:space="preserve">    'GrandMax': {'Parigi': 89650, 'Luwuk': 736875, 'Mamuju': 508525, 'Poso': 258337.5},</t>
  </si>
  <si>
    <t>demand               = {'Parigi': 1223, 'Luwuk': 9643, 'Mamuju': 2902, 'Poso': 2016}</t>
  </si>
  <si>
    <t>kapasitas_max_per_trip = 1560</t>
  </si>
  <si>
    <t>MAX_TRIP_PER_VEHICLE  = 15  # 🧑‍💼 HUMAN-CENTRIC constraint</t>
  </si>
  <si>
    <t xml:space="preserve">        m.addConstr(t[k, d] &lt;= 15 * x[k, d], f"MaxTrips_{k}_{d}")  # 🧑‍💼 human-centric</t>
  </si>
  <si>
    <t>🚚  BLOK 10: Palopo → Belopa, Mangkutana, Toraja  (max trip/kendaraan: 67)</t>
  </si>
  <si>
    <t># Middle Mile: Palopo → Belopa, Mangkutana, Toraja</t>
  </si>
  <si>
    <t>daerah    = ['Belopa', 'Mangkutana', 'Toraja']</t>
  </si>
  <si>
    <t>jarak     = {'Belopa': 49.98, 'Mangkutana': 138.45, 'Toraja': 72.18}</t>
  </si>
  <si>
    <t xml:space="preserve">    'CDD': {'Belopa': 84966, 'Mangkutana': 235365, 'Toraja': 122706},</t>
  </si>
  <si>
    <t xml:space="preserve">    'CDE': {'Belopa': 48552, 'Mangkutana': 134494.2857, 'Toraja': 70117.71429},</t>
  </si>
  <si>
    <t xml:space="preserve">    'GrandMax': {'Belopa': 62475, 'Mangkutana': 173062.5, 'Toraja': 90225},</t>
  </si>
  <si>
    <t>demand               = {'Belopa': 1924, 'Mangkutana': 4425, 'Toraja': 3785}</t>
  </si>
  <si>
    <t>MAX_TRIP_PER_VEHICLE  = 67  # 🧑‍💼 HUMAN-CENTRIC constraint</t>
  </si>
  <si>
    <t xml:space="preserve">        m.addConstr(t[k, d] &lt;= 67 * x[k, d], f"MaxTrips_{k}_{d}")  # 🧑‍💼 human-centric</t>
  </si>
  <si>
    <t>🚚  BLOK 11: Pare-Pare → Barru, Polman, Sengkang  (max trip/kendaraan: 90)</t>
  </si>
  <si>
    <t># Middle Mile: Pare-Pare → Barru, Polman, Sengkang</t>
  </si>
  <si>
    <t>daerah    = ['Barru', 'Polman', 'Sengkang']</t>
  </si>
  <si>
    <t>jarak     = {'Barru': 62.41, 'Polman': 103.54, 'Sengkang': 80.4}</t>
  </si>
  <si>
    <t xml:space="preserve">    'CDD': {'Barru': 106097, 'Polman': 176018, 'Sengkang': 136680},</t>
  </si>
  <si>
    <t xml:space="preserve">    'CDE': {'Barru': 60626.85714, 'Polman': 100581.7143, 'Sengkang': 78102.85714},</t>
  </si>
  <si>
    <t xml:space="preserve">    'GrandMax': {'Barru': 78012.5, 'Polman': 129425, 'Sengkang': 100500},</t>
  </si>
  <si>
    <t>demand               = {'Barru': 967, 'Polman': 3422, 'Sengkang': 3554}</t>
  </si>
  <si>
    <t>kapasitas_max_per_trip = 1480</t>
  </si>
  <si>
    <t>MAX_TRIP_PER_VEHICLE  = 90  # 🧑‍💼 HUMAN-CENTRIC constraint</t>
  </si>
  <si>
    <t xml:space="preserve">        m.addConstr(t[k, d] &lt;= 90 * x[k, d], f"MaxTrips_{k}_{d}")  # 🧑‍💼 human-centric</t>
  </si>
  <si>
    <t>🚚  BLOK 12: Balikpapan → Penajam-Grogot  (max trip/kendaraan: 57)</t>
  </si>
  <si>
    <t># Middle Mile: Balikpapan → Penajam-Grogot</t>
  </si>
  <si>
    <t>daerah    = ['Penajam-Grogot']</t>
  </si>
  <si>
    <t>jarak     = {'Penajam-Grogot': 161.958}</t>
  </si>
  <si>
    <t xml:space="preserve">    'CDD': {'Penajam-Grogot': 275328.6},</t>
  </si>
  <si>
    <t xml:space="preserve">    'CDE': {'Penajam-Grogot': 157330.6286},</t>
  </si>
  <si>
    <t xml:space="preserve">    'GrandMax': {'Penajam-Grogot': 202447.5},</t>
  </si>
  <si>
    <t>biaya_kendaraan      = {'CDD': 13853970, 'CDE': 6560843.333, 'GrandMax': 6560843.333}</t>
  </si>
  <si>
    <t>demand               = {'Penajam-Grogot': 4675}</t>
  </si>
  <si>
    <t>kapasitas_max_per_trip = 2880</t>
  </si>
  <si>
    <t>MAX_TRIP_PER_VEHICLE  = 57  # 🧑‍💼 HUMAN-CENTRIC constraint</t>
  </si>
  <si>
    <t xml:space="preserve">        m.addConstr(t[k, d] &lt;= 57 * x[k, d], f"MaxTrips_{k}_{d}")  # 🧑‍💼 human-centric</t>
  </si>
  <si>
    <t>🚚  BLOK 13: Makassar → Bulukumba, Gowa, Jeneponto, Pangkep, Takalar, Bone, Palopo, Pare-Pare, Sinjai  (max trip/kendaraan: 26)</t>
  </si>
  <si>
    <t># Middle Mile: Makassar → Bulukumba, Gowa, Jeneponto, Pangkep, Takalar, Bone, Palopo, Pare-Pare, Sinjai</t>
  </si>
  <si>
    <t>daerah    = ['Bulukumba', 'Gowa', 'Jeneponto', 'Pangkep', 'Takalar', 'Bone', 'Palopo', 'Pare-Pare', 'Sinjai']</t>
  </si>
  <si>
    <t>jarak     = {'Bulukumba': 200.0, 'Gowa': 16.37, 'Jeneponto': 97.42, 'Pangkep': 55.23, 'Takalar': 41.33, 'Bone': 194.85, 'Palopo': 375.38, 'Pare-Pare': 162.64, 'Sinjai': 224.38}</t>
  </si>
  <si>
    <t xml:space="preserve">    'CDD': {'Bulukumba': 340000, 'Gowa': 27829, 'Jeneponto': 165614, 'Pangkep': 93891, 'Takalar': 70261, 'Bone': 331245, 'Palopo': 638146, 'Pare-Pare': 276488, 'Sinjai': 381446},</t>
  </si>
  <si>
    <t xml:space="preserve">    'CDE': {'Bulukumba': 194285.7143, 'Gowa': 15902.28571, 'Jeneponto': 94636.57143, 'Pangkep': 53652, 'Takalar': 40149.14286, 'Bone': 189282.8571, 'Palopo': 364654.8571, 'Pare-Pare': 157993.1429, 'Sinjai': 217969.1429},</t>
  </si>
  <si>
    <t xml:space="preserve">    'GrandMax': {'Bulukumba': 250000, 'Gowa': 20462.5, 'Jeneponto': 121775, 'Pangkep': 69037.5, 'Takalar': 51662.5, 'Bone': 243562.5, 'Palopo': 469225, 'Pare-Pare': 203300, 'Sinjai': 280475},</t>
  </si>
  <si>
    <t>demand               = {'Bulukumba': 2549, 'Gowa': 11369, 'Jeneponto': 2561, 'Pangkep': 1826, 'Takalar': 1978, 'Bone': 2871, 'Palopo': 3259, 'Pare-Pare': 5309, 'Sinjai': 1169}</t>
  </si>
  <si>
    <t>kapasitas_max_per_trip = 2920</t>
  </si>
  <si>
    <t>🚚  BLOK 14: Gorontalo → Marisa  (max trip/kendaraan: 69)</t>
  </si>
  <si>
    <t># Middle Mile: Gorontalo → Marisa</t>
  </si>
  <si>
    <t>daerah    = ['Marisa']</t>
  </si>
  <si>
    <t>jarak     = {'Marisa': 134.66}</t>
  </si>
  <si>
    <t xml:space="preserve">    'CDD': {'Marisa': 228922},</t>
  </si>
  <si>
    <t xml:space="preserve">    'CDE': {'Marisa': 130812.5714},</t>
  </si>
  <si>
    <t xml:space="preserve">    'GrandMax': {'Marisa': 168325},</t>
  </si>
  <si>
    <t>demand               = {'Marisa': 2672}</t>
  </si>
  <si>
    <t>kapasitas_max_per_trip = 1120</t>
  </si>
  <si>
    <t>MAX_TRIP_PER_VEHICLE  = 69  # 🧑‍💼 HUMAN-CENTRIC constraint</t>
  </si>
  <si>
    <t xml:space="preserve">        m.addConstr(t[k, d] &lt;= 69 * x[k, d], f"MaxTrips_{k}_{d}")  # 🧑‍💼 human-centric</t>
  </si>
  <si>
    <t>Type</t>
  </si>
  <si>
    <t>Volume</t>
  </si>
  <si>
    <t>m^3</t>
  </si>
  <si>
    <t>Container (m)</t>
  </si>
  <si>
    <t>Gudang (m)</t>
  </si>
  <si>
    <t>Sulawesi</t>
  </si>
  <si>
    <t>DC031</t>
  </si>
  <si>
    <t>Direct CPU</t>
  </si>
  <si>
    <t>Wilayah</t>
  </si>
  <si>
    <t>Rerata Jarak</t>
  </si>
  <si>
    <t>Rerata Permintaan (boks/bulan)</t>
  </si>
  <si>
    <t>DC032</t>
  </si>
  <si>
    <t>Amurang</t>
  </si>
  <si>
    <t>DC033</t>
  </si>
  <si>
    <t>Barru</t>
  </si>
  <si>
    <t>DC034</t>
  </si>
  <si>
    <t>Bau-Bau</t>
  </si>
  <si>
    <t>DC035</t>
  </si>
  <si>
    <t>Belopa</t>
  </si>
  <si>
    <t>DC036</t>
  </si>
  <si>
    <t>Bitung</t>
  </si>
  <si>
    <t>Bone</t>
  </si>
  <si>
    <t>Bulukumba</t>
  </si>
  <si>
    <t>Gorontalo</t>
  </si>
  <si>
    <t>Gowa</t>
  </si>
  <si>
    <t>Jeneponto</t>
  </si>
  <si>
    <t>Kolaka</t>
  </si>
  <si>
    <t>Kotamobagu</t>
  </si>
  <si>
    <t>Luwuk</t>
  </si>
  <si>
    <t>Mamuju</t>
  </si>
  <si>
    <t>Mangkutana</t>
  </si>
  <si>
    <t>Marisa</t>
  </si>
  <si>
    <t>Palopo</t>
  </si>
  <si>
    <t>Pangkep</t>
  </si>
  <si>
    <t>Pare-Pare</t>
  </si>
  <si>
    <t>Parigi</t>
  </si>
  <si>
    <t>Polman</t>
  </si>
  <si>
    <t>Poso</t>
  </si>
  <si>
    <t>Sengkang</t>
  </si>
  <si>
    <t>Sinjai</t>
  </si>
  <si>
    <t>Takalar</t>
  </si>
  <si>
    <t>Tomohon</t>
  </si>
  <si>
    <t>Toraja</t>
  </si>
  <si>
    <t>Unaaha</t>
  </si>
  <si>
    <t>Grand Total</t>
  </si>
  <si>
    <t>East Kalimantan(Customer POV)</t>
  </si>
  <si>
    <t>Ampah-Teweh</t>
  </si>
  <si>
    <t>Barabai</t>
  </si>
  <si>
    <t>Batulicin</t>
  </si>
  <si>
    <t>Bontang-Sangata</t>
  </si>
  <si>
    <t>DC037</t>
  </si>
  <si>
    <t>Direct DC</t>
  </si>
  <si>
    <t>Ketapang</t>
  </si>
  <si>
    <t>DC038</t>
  </si>
  <si>
    <t>DC039</t>
  </si>
  <si>
    <t>Pangkalanbun</t>
  </si>
  <si>
    <t>DC040</t>
  </si>
  <si>
    <t>Penajam-Grogot</t>
  </si>
  <si>
    <t>DC041</t>
  </si>
  <si>
    <t>Rantau</t>
  </si>
  <si>
    <t>DC042</t>
  </si>
  <si>
    <t>DC043</t>
  </si>
  <si>
    <t>DC044</t>
  </si>
  <si>
    <t>Sintang</t>
  </si>
  <si>
    <t>DC045</t>
  </si>
  <si>
    <t>West Kalimantan(Customer POV)</t>
  </si>
  <si>
    <t>Singkawang</t>
  </si>
  <si>
    <t>BaliNusra</t>
  </si>
  <si>
    <t>BIMA</t>
  </si>
  <si>
    <t>Kupang</t>
  </si>
  <si>
    <t>Maumere</t>
  </si>
  <si>
    <t>Sumbawa</t>
  </si>
  <si>
    <t>Distributor Area</t>
  </si>
  <si>
    <t>ID</t>
  </si>
  <si>
    <t>Container</t>
  </si>
  <si>
    <t>Rate</t>
  </si>
  <si>
    <t>Bali Nusra</t>
  </si>
  <si>
    <t>Kalimantan</t>
  </si>
  <si>
    <t>💰  TOTAL BIAYA FIRST MILE — Karawang → Direct CPU / Direct DC</t>
  </si>
  <si>
    <t>Karawang ngirim cukup buat LOCAL + FORWARD ke Indirect DC/Depo. Jadi yang dikirim = THROUGHPUT bukan local demand doang.</t>
  </si>
  <si>
    <t>DC ID</t>
  </si>
  <si>
    <t>Local
Demand</t>
  </si>
  <si>
    <t>Forward
(Middle Mile)</t>
  </si>
  <si>
    <t>Throughput
(=Local+Fwd)</t>
  </si>
  <si>
    <t>Mix Container Optimal</t>
  </si>
  <si>
    <t>Trips</t>
  </si>
  <si>
    <t>Total Biaya (Rp)</t>
  </si>
  <si>
    <t>18× Build Up</t>
  </si>
  <si>
    <t>24× Build Up</t>
  </si>
  <si>
    <t>6× 40FT + 1× 20FT</t>
  </si>
  <si>
    <t>27× 40FT</t>
  </si>
  <si>
    <t>11× 40FT</t>
  </si>
  <si>
    <t>10× 40FT</t>
  </si>
  <si>
    <t>9× 40FT</t>
  </si>
  <si>
    <t>20× 40FT</t>
  </si>
  <si>
    <t>3× 20FT</t>
  </si>
  <si>
    <t>4× 40FT</t>
  </si>
  <si>
    <t>8× 40FT</t>
  </si>
  <si>
    <t>10× 20FT</t>
  </si>
  <si>
    <t>5× 40FT</t>
  </si>
  <si>
    <t>5× 40FT + 1× 20FT</t>
  </si>
  <si>
    <t>GRAND TOTAL FIRST MILE (Z₁ optimal, per bulan)</t>
  </si>
  <si>
    <t>💡  PENJELASAN: Local Demand vs Throughput</t>
  </si>
  <si>
    <t>• LOCAL DEMAND (kolom E) = kebutuhan boks bulanan DC tersebut SAJA. Sumber: Tabel 3.8 Laporan.</t>
  </si>
  <si>
    <t>• FORWARD (kolom F) = boks yang DC ini akan terusin ke Indirect DC/Depo via Middle Mile.</t>
  </si>
  <si>
    <t>• THROUGHPUT (kolom G) = Local + Forward = total yang Karawang ngirim ke DC ini.</t>
  </si>
  <si>
    <t>• Biaya First Mile dihitung berdasar THROUGHPUT (kolom G), karena itu yang real dikirim.</t>
  </si>
  <si>
    <t>• Mix container OPTIMAL = solusi ILP per DC (minimize cost, satisfy throughput, capacity ≤ x×c).</t>
  </si>
  <si>
    <t>• Total per BULAN. Untuk per tahun, kalikan 12.</t>
  </si>
  <si>
    <t>Biaya BBM/Trip</t>
  </si>
  <si>
    <t>Rate(Biaya/Kapasitas Volume)/1 Perjalanan</t>
  </si>
  <si>
    <t>Biaya BBM</t>
  </si>
  <si>
    <t>Harga BBM</t>
  </si>
  <si>
    <t>Petrol Consumption (Rasio BBM)</t>
  </si>
  <si>
    <t>Harga Bahan Bakar/KM</t>
  </si>
  <si>
    <t>Kepulauan</t>
  </si>
  <si>
    <t>Daerah Asal</t>
  </si>
  <si>
    <t>Tujuan</t>
  </si>
  <si>
    <t>Jarak</t>
  </si>
  <si>
    <t>Harga Solar</t>
  </si>
  <si>
    <t>Harga Pertalite</t>
  </si>
  <si>
    <t>Cek BBM TERENDAH</t>
  </si>
  <si>
    <t>Cek RATE Terendah</t>
  </si>
  <si>
    <t>https://drive.google.com/file/d/16zUUoSwMh_7Tqi-kTA__gdN4c5aFTCR9/view?usp=drive_link</t>
  </si>
  <si>
    <t>Ampah</t>
  </si>
  <si>
    <t>Bau Bau</t>
  </si>
  <si>
    <t>Marissa</t>
  </si>
  <si>
    <t>CDD Cost</t>
  </si>
  <si>
    <t>CDE Cost</t>
  </si>
  <si>
    <t>GrandMax Cost</t>
  </si>
  <si>
    <t>Kijang Cost</t>
  </si>
  <si>
    <t>motor tidak digunakan karena rate-nya terlalu besar untuk penyewaan saja 1.2 juta, tetapi box yang dikirim tidak sampai 20 box</t>
  </si>
  <si>
    <t>Sewa Motor Bulanan Harian di Bali Kuta Mulai 80 Ribu Per Hari</t>
  </si>
  <si>
    <t>Indirect DC</t>
  </si>
  <si>
    <t>Depo</t>
  </si>
  <si>
    <t>🧑‍💼 HUMAN-CENTRIC CONSTRAINT — Trip Maksimum Kendaraan per Lokasi Asal</t>
  </si>
  <si>
    <t>Formula:  T_k = FLOOR( JamKerja_PerBulan / (Jarak_Terjauh / Kecepatan) , 1)</t>
  </si>
  <si>
    <t>Implementasi: D = Jarak/Kecepatan (waktu trip 1 arah, jam) · E = FLOOR(JamKerja_PerBulan/D, 1) · F = JamKerja_PerBulan · G = cek E×D≤F</t>
  </si>
  <si>
    <t>Waktu TRIP(jarak terjauh dibagi 45 km/hour)</t>
  </si>
  <si>
    <t>MaxTrip</t>
  </si>
  <si>
    <t>Waktu Tersedia</t>
  </si>
  <si>
    <t>Total waktu&lt;waktu tersedia</t>
  </si>
  <si>
    <t>Capacity Kendaraan</t>
  </si>
  <si>
    <t>Waktu Trip Terjauh</t>
  </si>
  <si>
    <t>Maximum Trip</t>
  </si>
  <si>
    <t>Jumlah Paket Trip</t>
  </si>
  <si>
    <t>-</t>
  </si>
  <si>
    <t>DC046</t>
  </si>
  <si>
    <t>DC047</t>
  </si>
  <si>
    <t>DC048</t>
  </si>
  <si>
    <t>DC049</t>
  </si>
  <si>
    <t>DC050</t>
  </si>
  <si>
    <t>DC051</t>
  </si>
  <si>
    <t>DC052</t>
  </si>
  <si>
    <t>DC053</t>
  </si>
  <si>
    <t>DC054</t>
  </si>
  <si>
    <t>DC055</t>
  </si>
  <si>
    <t>DC056</t>
  </si>
  <si>
    <t>DC057</t>
  </si>
  <si>
    <t>ID Asal</t>
  </si>
  <si>
    <t>Nama Kota</t>
  </si>
  <si>
    <t>Id Tujuan</t>
  </si>
  <si>
    <t>Nama Kota Tujuan</t>
  </si>
  <si>
    <t>Jarak(KM)</t>
  </si>
  <si>
    <t>DC020</t>
  </si>
  <si>
    <t>jam kerja=</t>
  </si>
  <si>
    <t>Lokasi Asal</t>
  </si>
  <si>
    <t>ID Tujuan</t>
  </si>
  <si>
    <t>Jarak (km)</t>
  </si>
  <si>
    <t>DC003</t>
  </si>
  <si>
    <t>trip/bulan</t>
  </si>
  <si>
    <t>DC001</t>
  </si>
  <si>
    <t>Ampah - Teweh</t>
  </si>
  <si>
    <t>DC005</t>
  </si>
  <si>
    <t>DC002</t>
  </si>
  <si>
    <t>DC022</t>
  </si>
  <si>
    <t>DC008</t>
  </si>
  <si>
    <t>DC004</t>
  </si>
  <si>
    <t>DC016</t>
  </si>
  <si>
    <t>DC013</t>
  </si>
  <si>
    <t>DC006</t>
  </si>
  <si>
    <t>DC030</t>
  </si>
  <si>
    <t>DC007</t>
  </si>
  <si>
    <t>PabrikKarawang</t>
  </si>
  <si>
    <t>Karawang</t>
  </si>
  <si>
    <t>DC009</t>
  </si>
  <si>
    <t>DC010</t>
  </si>
  <si>
    <t>DC011</t>
  </si>
  <si>
    <t>DC012</t>
  </si>
  <si>
    <t>DC014</t>
  </si>
  <si>
    <t>DC015</t>
  </si>
  <si>
    <t>DC018</t>
  </si>
  <si>
    <t>DC025</t>
  </si>
  <si>
    <t>DC017</t>
  </si>
  <si>
    <t>DC027</t>
  </si>
  <si>
    <t>DC019</t>
  </si>
  <si>
    <t>DC021</t>
  </si>
  <si>
    <t>DC023</t>
  </si>
  <si>
    <t>DC024</t>
  </si>
  <si>
    <t>DC028</t>
  </si>
  <si>
    <t>DC026</t>
  </si>
  <si>
    <t>DC029</t>
  </si>
  <si>
    <t>Permintaan</t>
  </si>
  <si>
    <t>Capacity</t>
  </si>
  <si>
    <t>Depo/Machine Room</t>
  </si>
  <si>
    <t>Bontang Sangata</t>
  </si>
  <si>
    <t>Demand</t>
  </si>
  <si>
    <t>Daerah</t>
  </si>
  <si>
    <t>DC</t>
  </si>
  <si>
    <t>Tipe</t>
  </si>
  <si>
    <t>Total Pengiriman</t>
  </si>
  <si>
    <t>Minimal Kapasitas</t>
  </si>
  <si>
    <t>Kapasitas Kendaraan</t>
  </si>
  <si>
    <t>Cek</t>
  </si>
  <si>
    <t>Asal</t>
  </si>
  <si>
    <t>Rute</t>
  </si>
  <si>
    <t>Vehicles</t>
  </si>
  <si>
    <t>Total Trips</t>
  </si>
  <si>
    <t>Muatan (box)</t>
  </si>
  <si>
    <t>Total Driver</t>
  </si>
  <si>
    <t>Max Trip/ Kendaraan</t>
  </si>
  <si>
    <t xml:space="preserve">Total Biaya Driver </t>
  </si>
  <si>
    <t>💰  RINGKASAN 4 KOMPONEN BIAYA — sesuai Fungsi Objektif Z₂ di laporan</t>
  </si>
  <si>
    <t>CDE ke Barabai</t>
  </si>
  <si>
    <t>Sewa Kendaraan</t>
  </si>
  <si>
    <t>Biaya Driver</t>
  </si>
  <si>
    <t>Biaya Staff</t>
  </si>
  <si>
    <t>TOTAL per Asal</t>
  </si>
  <si>
    <t>Source</t>
  </si>
  <si>
    <t>CDE ke Batu Licin</t>
  </si>
  <si>
    <t>L=F5 (BBM total) · M=hardcoded (lihat comment) · N=I2 (Driver total) · O=VLOOKUP Biaya Staff</t>
  </si>
  <si>
    <t>CDE ke Rantau</t>
  </si>
  <si>
    <t>L=F10 (BBM total) · M=hardcoded (lihat comment) · N=I6 (Driver total) · O=VLOOKUP Biaya Staff</t>
  </si>
  <si>
    <t>Total</t>
  </si>
  <si>
    <t>L=F12 (BBM total) · M=hardcoded (lihat comment) · N=I11 (Driver total) · O=VLOOKUP Biaya Staff</t>
  </si>
  <si>
    <t>CDD ke Sumbawa</t>
  </si>
  <si>
    <t>L=F14 (BBM total) · M=hardcoded (lihat comment) · N=I13 (Driver total) · O=VLOOKUP Biaya Staff</t>
  </si>
  <si>
    <t>CDE ke Kupang</t>
  </si>
  <si>
    <t>L=F18 (BBM total) · M=hardcoded (lihat comment) · N=I15 (Driver total) · O=VLOOKUP Biaya Staff</t>
  </si>
  <si>
    <t>CDE ke Maumere</t>
  </si>
  <si>
    <t>L=F20 (BBM total) · M=hardcoded (lihat comment) · N=I19 (Driver total) · O=VLOOKUP Biaya Staff</t>
  </si>
  <si>
    <t>CDE ke Sumbawa</t>
  </si>
  <si>
    <t>L=F24 (BBM total) · M=hardcoded (lihat comment) · N=I21 (Driver total) · O=VLOOKUP Biaya Staff</t>
  </si>
  <si>
    <t>L=F30 (BBM total) · M=hardcoded (lihat comment) · N=I25 (Driver total) · O=VLOOKUP Biaya Staff</t>
  </si>
  <si>
    <t>CDE ke Bontang-Sangata</t>
  </si>
  <si>
    <t>L=F35 (BBM total) · M=hardcoded (lihat comment) · N=I31 (Driver total) · O=VLOOKUP Biaya Staff</t>
  </si>
  <si>
    <t>L=F39 (BBM total) · M=hardcoded (lihat comment) · N=I36 (Driver total) · O=VLOOKUP Biaya Staff</t>
  </si>
  <si>
    <t>CDE ke Ampah</t>
  </si>
  <si>
    <t>L=F43 (BBM total) · M=hardcoded (lihat comment) · N=I40 (Driver total) · O=VLOOKUP Biaya Staff</t>
  </si>
  <si>
    <t>L=F45 (BBM total) · M=hardcoded (lihat comment) · N=I44 (Driver total) · O=VLOOKUP Biaya Staff</t>
  </si>
  <si>
    <t>CDE ke Ketapang</t>
  </si>
  <si>
    <t>L=F56 (BBM total) · M=hardcoded (lihat comment) · N=I46 (Driver total) · O=VLOOKUP Biaya Staff</t>
  </si>
  <si>
    <t>CDE ke Singkawang</t>
  </si>
  <si>
    <t>L=F58 (BBM total) · M=hardcoded (lihat comment) · N=I57 (Driver total) · O=VLOOKUP Biaya Staff</t>
  </si>
  <si>
    <t>CDE ke Sintang</t>
  </si>
  <si>
    <t>GRAND TOTAL</t>
  </si>
  <si>
    <t>Total biaya Middle Mile per bulan (Z₂ minimum)</t>
  </si>
  <si>
    <t>CDE ke Pangkalanbun</t>
  </si>
  <si>
    <t>CDE ke Kolaka</t>
  </si>
  <si>
    <t>CDE ke Bau-Bau</t>
  </si>
  <si>
    <t>GrandMax ke Unaaha</t>
  </si>
  <si>
    <t>CDE ke Kotamobagu</t>
  </si>
  <si>
    <t>CDE ke Gorontalo</t>
  </si>
  <si>
    <t>GrandMax ke Amurang</t>
  </si>
  <si>
    <t>GrandMax ke Bitung</t>
  </si>
  <si>
    <t>GrandMax ke Tomohon</t>
  </si>
  <si>
    <t>90-120</t>
  </si>
  <si>
    <t>CDE ke Luwuk</t>
  </si>
  <si>
    <t>1 irang mengurus berapa barang</t>
  </si>
  <si>
    <t>CDE ke Mamuju</t>
  </si>
  <si>
    <t>CDE ke Poso</t>
  </si>
  <si>
    <t>GrandMax ke Parigi</t>
  </si>
  <si>
    <t>CDE ke Mangkutana</t>
  </si>
  <si>
    <t>CDE ke Toraja</t>
  </si>
  <si>
    <t>GrandMax ke Belopa</t>
  </si>
  <si>
    <t>CDE ke Polman</t>
  </si>
  <si>
    <t>CDE ke Sengkang</t>
  </si>
  <si>
    <t>GrandMax ke Barru</t>
  </si>
  <si>
    <t>CDE ke Penajam-Grogot</t>
  </si>
  <si>
    <t>CDD ke Gowa</t>
  </si>
  <si>
    <t>CDD ke Pare-Pare</t>
  </si>
  <si>
    <t>CDE ke Bulukumba</t>
  </si>
  <si>
    <t>CDE ke Gowa</t>
  </si>
  <si>
    <t>CDE ke Jeneponto</t>
  </si>
  <si>
    <t>CDE ke Bone</t>
  </si>
  <si>
    <t>CDE ke Palopo</t>
  </si>
  <si>
    <t>CDE ke Sinjai</t>
  </si>
  <si>
    <t>GrandMax ke Pangkep</t>
  </si>
  <si>
    <t>GrandMax ke Takalar</t>
  </si>
  <si>
    <t>CDE ke Marisa</t>
  </si>
  <si>
    <t xml:space="preserve"> TOTAL Middle Mile</t>
  </si>
  <si>
    <t>jumlah driver: dari jarak tempuh --&gt; waktu tempuh. jam kerja driver (waktu tempuh) &lt;= 8 jam. Jika lebih dari 8 jam, maka nambah driver</t>
  </si>
  <si>
    <t xml:space="preserve">asumsi kecepatan rata2 vehicle </t>
  </si>
  <si>
    <t>jumlah staf: dari kapasitas gudang</t>
  </si>
  <si>
    <t>Driver Cost</t>
  </si>
  <si>
    <t>Staff Cost</t>
  </si>
  <si>
    <t>*Rental (Sewa Gudang)</t>
  </si>
  <si>
    <t>Sumbawa asumsi</t>
  </si>
  <si>
    <t>Karena dekat makassar</t>
  </si>
  <si>
    <t>Estimasi kapasitas depo</t>
  </si>
  <si>
    <t>Depo Kalimantan</t>
  </si>
  <si>
    <t>Depo Sulawesi</t>
  </si>
  <si>
    <t>Depo BaliNusra</t>
  </si>
  <si>
    <t>Estimasi Kapasitas</t>
  </si>
  <si>
    <t>Bima</t>
  </si>
  <si>
    <t>Mangkutanah</t>
  </si>
  <si>
    <t>DC2,DC007,DC013, DC014, DC19, DC28, DC30</t>
  </si>
  <si>
    <t>Frekuensi Penerimaan</t>
  </si>
  <si>
    <t>Rata-Rata Penerimaan</t>
  </si>
  <si>
    <t>Total Waktu (menit)</t>
  </si>
  <si>
    <t>Waktu Karyawan Kerja(menit)</t>
  </si>
  <si>
    <t>Jumlah Staff</t>
  </si>
  <si>
    <t>Rata-Rata penerimaan dikali 2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</si>
</sst>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&quot; km/L&quot;"/>
    <numFmt numFmtId="166" formatCode="\+#,##0;\-#,##0"/>
    <numFmt numFmtId="167" formatCode="#,##0.000"/>
    <numFmt numFmtId="168" formatCode="&quot;Rp&quot;#,##0"/>
    <numFmt numFmtId="169" formatCode="_-[$Rp-421]* #,##0.00_-;_-[$Rp-421]* \-#,##0.00_-;_-[$Rp-421]* \-??_-;_-@"/>
  </numFmts>
  <fonts count="39"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sz val="10"/>
      <name val="Arial"/>
      <family val="2"/>
    </font>
    <font>
      <b/>
      <sz val="11"/>
      <color rgb="FF1F4E78"/>
      <name val="Arial"/>
      <charset val="1"/>
    </font>
    <font>
      <sz val="10"/>
      <name val="Consolas"/>
      <charset val="1"/>
    </font>
    <font>
      <b/>
      <sz val="10"/>
      <color rgb="FF00B050"/>
      <name val="Arial"/>
      <charset val="1"/>
    </font>
    <font>
      <b/>
      <sz val="11"/>
      <color rgb="FFC00000"/>
      <name val="Arial"/>
      <charset val="1"/>
    </font>
    <font>
      <i/>
      <sz val="10"/>
      <color rgb="FF008000"/>
      <name val="Consolas"/>
      <charset val="1"/>
    </font>
    <font>
      <sz val="10"/>
      <color rgb="FF1F1F1F"/>
      <name val="Consolas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3"/>
      <color theme="1"/>
      <name val="Arial"/>
      <family val="2"/>
      <charset val="1"/>
    </font>
    <font>
      <sz val="11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u/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b/>
      <sz val="11"/>
      <color rgb="FF000000"/>
      <name val="&quot;Aptos Narrow&quot;"/>
      <charset val="1"/>
    </font>
    <font>
      <b/>
      <sz val="14"/>
      <color theme="1"/>
      <name val="Arial"/>
      <family val="2"/>
      <charset val="1"/>
    </font>
    <font>
      <b/>
      <sz val="13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5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D9D9D9"/>
      <name val="Calibri"/>
      <family val="2"/>
      <charset val="1"/>
    </font>
    <font>
      <sz val="11"/>
      <color rgb="FFD9D9D9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000000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1F4E78"/>
        <bgColor rgb="FF284E3F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EAD1DC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8F8F8"/>
      </patternFill>
    </fill>
    <fill>
      <patternFill patternType="solid">
        <fgColor rgb="FFFFD966"/>
        <bgColor rgb="FFFFE599"/>
      </patternFill>
    </fill>
    <fill>
      <patternFill patternType="solid">
        <fgColor rgb="FFF8F8F8"/>
        <bgColor rgb="FFF2F2F2"/>
      </patternFill>
    </fill>
    <fill>
      <patternFill patternType="solid">
        <fgColor rgb="FFD9EAD3"/>
        <bgColor rgb="FFE2EFDA"/>
      </patternFill>
    </fill>
    <fill>
      <patternFill patternType="solid">
        <fgColor rgb="FFFFE599"/>
        <bgColor rgb="FFFFD966"/>
      </patternFill>
    </fill>
    <fill>
      <patternFill patternType="solid">
        <fgColor rgb="FFEAD1D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9D9"/>
      </patternFill>
    </fill>
    <fill>
      <patternFill patternType="solid">
        <fgColor rgb="FFFF0000"/>
        <bgColor rgb="FFC00000"/>
      </patternFill>
    </fill>
    <fill>
      <patternFill patternType="solid">
        <fgColor rgb="FFD0E0E3"/>
        <bgColor rgb="FFD9D9D9"/>
      </patternFill>
    </fill>
    <fill>
      <patternFill patternType="solid">
        <fgColor rgb="FF6FA8DC"/>
        <bgColor rgb="FF999999"/>
      </patternFill>
    </fill>
    <fill>
      <patternFill patternType="solid">
        <fgColor rgb="FFEA9999"/>
        <bgColor rgb="FFF4CCCC"/>
      </patternFill>
    </fill>
    <fill>
      <patternFill patternType="solid">
        <fgColor rgb="FFF1C232"/>
        <bgColor rgb="FFFFD966"/>
      </patternFill>
    </fill>
    <fill>
      <patternFill patternType="solid">
        <fgColor rgb="FF356854"/>
        <bgColor rgb="FF284E3F"/>
      </patternFill>
    </fill>
    <fill>
      <patternFill patternType="solid">
        <fgColor rgb="FF980000"/>
        <bgColor rgb="FFC00000"/>
      </patternFill>
    </fill>
    <fill>
      <patternFill patternType="solid">
        <fgColor rgb="FF93C47D"/>
        <bgColor rgb="FF999999"/>
      </patternFill>
    </fill>
    <fill>
      <patternFill patternType="solid">
        <fgColor theme="0"/>
        <bgColor rgb="FFF8F8F8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EAD1DC"/>
      </right>
      <top style="thin">
        <color rgb="FF284E3F"/>
      </top>
      <bottom style="thin">
        <color rgb="FF284E3F"/>
      </bottom>
      <diagonal/>
    </border>
    <border>
      <left style="thin">
        <color rgb="FFEAD1DC"/>
      </left>
      <right style="thin">
        <color rgb="FFEAD1DC"/>
      </right>
      <top style="thin">
        <color rgb="FF284E3F"/>
      </top>
      <bottom style="thin">
        <color rgb="FF284E3F"/>
      </bottom>
      <diagonal/>
    </border>
    <border>
      <left style="thin">
        <color rgb="FFEAD1DC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9" fillId="7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1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3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top" wrapText="1"/>
    </xf>
    <xf numFmtId="1" fontId="2" fillId="11" borderId="0" xfId="0" applyNumberFormat="1" applyFont="1" applyFill="1" applyAlignment="1">
      <alignment horizontal="right" vertical="center"/>
    </xf>
    <xf numFmtId="0" fontId="12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horizontal="right"/>
    </xf>
    <xf numFmtId="3" fontId="14" fillId="0" borderId="7" xfId="0" applyNumberFormat="1" applyFont="1" applyBorder="1" applyAlignment="1">
      <alignment horizontal="center" wrapText="1"/>
    </xf>
    <xf numFmtId="4" fontId="14" fillId="0" borderId="7" xfId="0" applyNumberFormat="1" applyFont="1" applyBorder="1" applyAlignment="1">
      <alignment horizontal="center" wrapText="1"/>
    </xf>
    <xf numFmtId="3" fontId="14" fillId="0" borderId="0" xfId="0" applyNumberFormat="1" applyFont="1"/>
    <xf numFmtId="0" fontId="14" fillId="0" borderId="0" xfId="0" applyFont="1"/>
    <xf numFmtId="0" fontId="16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left" wrapText="1"/>
    </xf>
    <xf numFmtId="0" fontId="14" fillId="0" borderId="7" xfId="0" applyFont="1" applyBorder="1" applyAlignment="1">
      <alignment horizontal="center" wrapText="1"/>
    </xf>
    <xf numFmtId="3" fontId="15" fillId="0" borderId="0" xfId="0" applyNumberFormat="1" applyFont="1"/>
    <xf numFmtId="3" fontId="16" fillId="0" borderId="7" xfId="0" applyNumberFormat="1" applyFont="1" applyBorder="1" applyAlignment="1">
      <alignment horizontal="center" wrapText="1"/>
    </xf>
    <xf numFmtId="3" fontId="14" fillId="13" borderId="7" xfId="0" applyNumberFormat="1" applyFont="1" applyFill="1" applyBorder="1" applyAlignment="1">
      <alignment horizontal="center" wrapText="1"/>
    </xf>
    <xf numFmtId="3" fontId="14" fillId="14" borderId="7" xfId="0" applyNumberFormat="1" applyFont="1" applyFill="1" applyBorder="1" applyAlignment="1">
      <alignment horizontal="center" wrapText="1"/>
    </xf>
    <xf numFmtId="3" fontId="14" fillId="15" borderId="7" xfId="0" applyNumberFormat="1" applyFont="1" applyFill="1" applyBorder="1" applyAlignment="1">
      <alignment horizontal="center" wrapText="1"/>
    </xf>
    <xf numFmtId="3" fontId="14" fillId="16" borderId="7" xfId="0" applyNumberFormat="1" applyFont="1" applyFill="1" applyBorder="1" applyAlignment="1">
      <alignment horizontal="center" wrapText="1"/>
    </xf>
    <xf numFmtId="3" fontId="14" fillId="17" borderId="7" xfId="0" applyNumberFormat="1" applyFont="1" applyFill="1" applyBorder="1" applyAlignment="1">
      <alignment horizontal="center" wrapText="1"/>
    </xf>
    <xf numFmtId="3" fontId="14" fillId="18" borderId="7" xfId="0" applyNumberFormat="1" applyFont="1" applyFill="1" applyBorder="1" applyAlignment="1">
      <alignment horizontal="center" wrapText="1"/>
    </xf>
    <xf numFmtId="3" fontId="15" fillId="15" borderId="0" xfId="0" applyNumberFormat="1" applyFont="1" applyFill="1"/>
    <xf numFmtId="3" fontId="14" fillId="17" borderId="0" xfId="0" applyNumberFormat="1" applyFont="1" applyFill="1"/>
    <xf numFmtId="3" fontId="14" fillId="19" borderId="7" xfId="0" applyNumberFormat="1" applyFont="1" applyFill="1" applyBorder="1" applyAlignment="1">
      <alignment horizontal="center" wrapText="1"/>
    </xf>
    <xf numFmtId="3" fontId="14" fillId="20" borderId="7" xfId="0" applyNumberFormat="1" applyFont="1" applyFill="1" applyBorder="1" applyAlignment="1">
      <alignment horizontal="center" wrapText="1"/>
    </xf>
    <xf numFmtId="0" fontId="14" fillId="17" borderId="0" xfId="0" applyFont="1" applyFill="1"/>
    <xf numFmtId="0" fontId="18" fillId="0" borderId="7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/>
    <xf numFmtId="3" fontId="21" fillId="0" borderId="0" xfId="0" applyNumberFormat="1" applyFont="1"/>
    <xf numFmtId="4" fontId="21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left" vertical="top"/>
    </xf>
    <xf numFmtId="1" fontId="5" fillId="7" borderId="1" xfId="0" applyNumberFormat="1" applyFont="1" applyFill="1" applyBorder="1" applyAlignment="1">
      <alignment horizontal="right" vertical="center"/>
    </xf>
    <xf numFmtId="3" fontId="11" fillId="8" borderId="1" xfId="0" applyNumberFormat="1" applyFont="1" applyFill="1" applyBorder="1" applyAlignment="1">
      <alignment horizontal="right" vertic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2" fillId="0" borderId="0" xfId="0" applyFont="1"/>
    <xf numFmtId="0" fontId="14" fillId="0" borderId="7" xfId="0" applyFont="1" applyBorder="1" applyAlignment="1">
      <alignment vertical="center"/>
    </xf>
    <xf numFmtId="0" fontId="14" fillId="0" borderId="10" xfId="0" applyFont="1" applyBorder="1" applyAlignment="1">
      <alignment horizontal="right"/>
    </xf>
    <xf numFmtId="4" fontId="15" fillId="0" borderId="0" xfId="0" applyNumberFormat="1" applyFont="1"/>
    <xf numFmtId="0" fontId="24" fillId="0" borderId="7" xfId="0" applyFont="1" applyBorder="1"/>
    <xf numFmtId="167" fontId="25" fillId="0" borderId="7" xfId="0" applyNumberFormat="1" applyFont="1" applyBorder="1"/>
    <xf numFmtId="0" fontId="25" fillId="0" borderId="0" xfId="0" applyFont="1"/>
    <xf numFmtId="167" fontId="19" fillId="0" borderId="7" xfId="0" applyNumberFormat="1" applyFont="1" applyBorder="1"/>
    <xf numFmtId="0" fontId="26" fillId="0" borderId="0" xfId="0" applyFont="1"/>
    <xf numFmtId="0" fontId="14" fillId="0" borderId="7" xfId="0" applyFont="1" applyBorder="1"/>
    <xf numFmtId="0" fontId="18" fillId="0" borderId="7" xfId="0" applyFont="1" applyBorder="1" applyAlignment="1">
      <alignment horizontal="left"/>
    </xf>
    <xf numFmtId="167" fontId="15" fillId="0" borderId="7" xfId="0" applyNumberFormat="1" applyFont="1" applyBorder="1"/>
    <xf numFmtId="0" fontId="19" fillId="0" borderId="7" xfId="0" applyFont="1" applyBorder="1" applyAlignment="1">
      <alignment horizontal="left"/>
    </xf>
    <xf numFmtId="167" fontId="24" fillId="0" borderId="7" xfId="0" applyNumberFormat="1" applyFont="1" applyBorder="1"/>
    <xf numFmtId="0" fontId="25" fillId="0" borderId="7" xfId="0" applyFont="1" applyBorder="1"/>
    <xf numFmtId="167" fontId="18" fillId="0" borderId="7" xfId="0" applyNumberFormat="1" applyFont="1" applyBorder="1"/>
    <xf numFmtId="0" fontId="14" fillId="0" borderId="0" xfId="0" applyFont="1" applyAlignment="1">
      <alignment horizontal="right"/>
    </xf>
    <xf numFmtId="1" fontId="15" fillId="0" borderId="0" xfId="0" applyNumberFormat="1" applyFont="1"/>
    <xf numFmtId="0" fontId="14" fillId="21" borderId="0" xfId="0" applyFont="1" applyFill="1"/>
    <xf numFmtId="167" fontId="25" fillId="21" borderId="7" xfId="0" applyNumberFormat="1" applyFont="1" applyFill="1" applyBorder="1"/>
    <xf numFmtId="167" fontId="24" fillId="20" borderId="7" xfId="0" applyNumberFormat="1" applyFont="1" applyFill="1" applyBorder="1"/>
    <xf numFmtId="0" fontId="15" fillId="22" borderId="0" xfId="0" applyFont="1" applyFill="1"/>
    <xf numFmtId="0" fontId="15" fillId="23" borderId="0" xfId="0" applyFont="1" applyFill="1"/>
    <xf numFmtId="167" fontId="24" fillId="23" borderId="7" xfId="0" applyNumberFormat="1" applyFont="1" applyFill="1" applyBorder="1"/>
    <xf numFmtId="0" fontId="15" fillId="24" borderId="0" xfId="0" applyFont="1" applyFill="1"/>
    <xf numFmtId="0" fontId="14" fillId="24" borderId="0" xfId="0" applyFont="1" applyFill="1"/>
    <xf numFmtId="167" fontId="25" fillId="20" borderId="7" xfId="0" applyNumberFormat="1" applyFont="1" applyFill="1" applyBorder="1"/>
    <xf numFmtId="0" fontId="14" fillId="20" borderId="0" xfId="0" applyFont="1" applyFill="1"/>
    <xf numFmtId="167" fontId="15" fillId="20" borderId="7" xfId="0" applyNumberFormat="1" applyFont="1" applyFill="1" applyBorder="1"/>
    <xf numFmtId="0" fontId="14" fillId="22" borderId="0" xfId="0" applyFont="1" applyFill="1"/>
    <xf numFmtId="0" fontId="14" fillId="23" borderId="0" xfId="0" applyFont="1" applyFill="1"/>
    <xf numFmtId="167" fontId="18" fillId="17" borderId="7" xfId="0" applyNumberFormat="1" applyFont="1" applyFill="1" applyBorder="1"/>
    <xf numFmtId="0" fontId="15" fillId="0" borderId="7" xfId="0" applyFont="1" applyBorder="1"/>
    <xf numFmtId="0" fontId="15" fillId="17" borderId="7" xfId="0" applyFont="1" applyFill="1" applyBorder="1"/>
    <xf numFmtId="0" fontId="15" fillId="17" borderId="0" xfId="0" applyFont="1" applyFill="1"/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2" fontId="24" fillId="0" borderId="0" xfId="0" applyNumberFormat="1" applyFont="1" applyAlignment="1">
      <alignment horizontal="right"/>
    </xf>
    <xf numFmtId="0" fontId="27" fillId="14" borderId="14" xfId="0" applyFont="1" applyFill="1" applyBorder="1" applyAlignment="1">
      <alignment horizontal="center" vertical="center"/>
    </xf>
    <xf numFmtId="0" fontId="27" fillId="14" borderId="15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1" fillId="0" borderId="7" xfId="0" applyFont="1" applyBorder="1"/>
    <xf numFmtId="167" fontId="21" fillId="0" borderId="7" xfId="0" applyNumberFormat="1" applyFont="1" applyBorder="1"/>
    <xf numFmtId="0" fontId="14" fillId="25" borderId="7" xfId="0" applyFont="1" applyFill="1" applyBorder="1" applyAlignment="1">
      <alignment vertical="center"/>
    </xf>
    <xf numFmtId="0" fontId="21" fillId="25" borderId="7" xfId="0" applyFont="1" applyFill="1" applyBorder="1" applyAlignment="1">
      <alignment vertical="center"/>
    </xf>
    <xf numFmtId="3" fontId="21" fillId="25" borderId="7" xfId="0" applyNumberFormat="1" applyFont="1" applyFill="1" applyBorder="1" applyAlignment="1">
      <alignment horizontal="right" vertical="center"/>
    </xf>
    <xf numFmtId="0" fontId="21" fillId="25" borderId="7" xfId="0" applyFont="1" applyFill="1" applyBorder="1" applyAlignment="1">
      <alignment horizontal="right" vertical="center"/>
    </xf>
    <xf numFmtId="3" fontId="14" fillId="25" borderId="7" xfId="0" applyNumberFormat="1" applyFont="1" applyFill="1" applyBorder="1" applyAlignment="1">
      <alignment horizontal="right" vertical="center"/>
    </xf>
    <xf numFmtId="167" fontId="28" fillId="0" borderId="7" xfId="0" applyNumberFormat="1" applyFont="1" applyBorder="1" applyAlignment="1">
      <alignment vertical="center"/>
    </xf>
    <xf numFmtId="0" fontId="14" fillId="0" borderId="7" xfId="0" applyFont="1" applyBorder="1" applyAlignment="1">
      <alignment horizontal="left"/>
    </xf>
    <xf numFmtId="0" fontId="28" fillId="0" borderId="7" xfId="0" applyFont="1" applyBorder="1" applyAlignment="1">
      <alignment vertical="center"/>
    </xf>
    <xf numFmtId="167" fontId="14" fillId="0" borderId="7" xfId="0" applyNumberFormat="1" applyFont="1" applyBorder="1" applyAlignment="1">
      <alignment vertical="center"/>
    </xf>
    <xf numFmtId="167" fontId="18" fillId="0" borderId="7" xfId="0" applyNumberFormat="1" applyFont="1" applyBorder="1" applyAlignment="1">
      <alignment vertical="center"/>
    </xf>
    <xf numFmtId="167" fontId="15" fillId="0" borderId="7" xfId="0" applyNumberFormat="1" applyFont="1" applyBorder="1" applyAlignment="1">
      <alignment vertical="center"/>
    </xf>
    <xf numFmtId="0" fontId="14" fillId="25" borderId="7" xfId="0" applyFont="1" applyFill="1" applyBorder="1" applyAlignment="1">
      <alignment horizontal="right" vertical="center"/>
    </xf>
    <xf numFmtId="0" fontId="28" fillId="25" borderId="7" xfId="0" applyFont="1" applyFill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24" fillId="0" borderId="0" xfId="0" applyFont="1" applyAlignment="1">
      <alignment horizontal="right"/>
    </xf>
    <xf numFmtId="167" fontId="21" fillId="0" borderId="7" xfId="0" applyNumberFormat="1" applyFont="1" applyBorder="1" applyAlignment="1">
      <alignment horizontal="right"/>
    </xf>
    <xf numFmtId="167" fontId="14" fillId="0" borderId="7" xfId="0" applyNumberFormat="1" applyFont="1" applyBorder="1"/>
    <xf numFmtId="3" fontId="21" fillId="0" borderId="7" xfId="0" applyNumberFormat="1" applyFont="1" applyBorder="1" applyAlignment="1">
      <alignment horizontal="right"/>
    </xf>
    <xf numFmtId="0" fontId="14" fillId="25" borderId="7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right"/>
    </xf>
    <xf numFmtId="0" fontId="24" fillId="0" borderId="3" xfId="0" applyFont="1" applyBorder="1"/>
    <xf numFmtId="0" fontId="25" fillId="0" borderId="3" xfId="0" applyFont="1" applyBorder="1"/>
    <xf numFmtId="0" fontId="24" fillId="0" borderId="17" xfId="0" applyFont="1" applyBorder="1"/>
    <xf numFmtId="0" fontId="25" fillId="0" borderId="3" xfId="0" applyFont="1" applyBorder="1" applyAlignment="1">
      <alignment horizontal="right"/>
    </xf>
    <xf numFmtId="0" fontId="16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3" fontId="14" fillId="0" borderId="0" xfId="0" applyNumberFormat="1" applyFont="1" applyAlignment="1">
      <alignment horizontal="center" wrapText="1"/>
    </xf>
    <xf numFmtId="3" fontId="14" fillId="0" borderId="7" xfId="0" applyNumberFormat="1" applyFont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wrapText="1"/>
    </xf>
    <xf numFmtId="3" fontId="14" fillId="0" borderId="7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168" fontId="18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3" fontId="29" fillId="0" borderId="0" xfId="0" applyNumberFormat="1" applyFont="1" applyAlignment="1">
      <alignment horizontal="right" vertical="center"/>
    </xf>
    <xf numFmtId="168" fontId="29" fillId="0" borderId="0" xfId="0" applyNumberFormat="1" applyFont="1" applyAlignment="1">
      <alignment horizontal="right" vertical="center"/>
    </xf>
    <xf numFmtId="4" fontId="14" fillId="0" borderId="7" xfId="0" applyNumberFormat="1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4" fillId="8" borderId="1" xfId="0" applyFont="1" applyFill="1" applyBorder="1" applyAlignment="1">
      <alignment horizontal="left" vertical="top" wrapText="1"/>
    </xf>
    <xf numFmtId="0" fontId="31" fillId="0" borderId="0" xfId="0" applyFont="1"/>
    <xf numFmtId="168" fontId="32" fillId="0" borderId="0" xfId="0" applyNumberFormat="1" applyFont="1"/>
    <xf numFmtId="169" fontId="32" fillId="0" borderId="0" xfId="0" applyNumberFormat="1" applyFont="1"/>
    <xf numFmtId="0" fontId="33" fillId="0" borderId="0" xfId="0" applyFont="1"/>
    <xf numFmtId="168" fontId="31" fillId="0" borderId="0" xfId="0" applyNumberFormat="1" applyFont="1"/>
    <xf numFmtId="0" fontId="34" fillId="0" borderId="0" xfId="0" applyFont="1"/>
    <xf numFmtId="0" fontId="35" fillId="0" borderId="0" xfId="0" applyFont="1" applyAlignment="1">
      <alignment horizontal="center"/>
    </xf>
    <xf numFmtId="0" fontId="36" fillId="0" borderId="0" xfId="0" applyFont="1"/>
    <xf numFmtId="0" fontId="37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14" fillId="0" borderId="6" xfId="0" applyNumberFormat="1" applyFont="1" applyBorder="1"/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7" xfId="0" applyFont="1" applyBorder="1"/>
    <xf numFmtId="0" fontId="22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/>
    </xf>
    <xf numFmtId="3" fontId="11" fillId="8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left" vertical="top"/>
    </xf>
    <xf numFmtId="0" fontId="16" fillId="12" borderId="7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1" fillId="8" borderId="1" xfId="0" applyFont="1" applyFill="1" applyBorder="1" applyAlignment="1">
      <alignment horizontal="right" vertical="center"/>
    </xf>
    <xf numFmtId="0" fontId="8" fillId="4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14" fillId="0" borderId="7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980000"/>
      <rgbColor rgb="FF008000"/>
      <rgbColor rgb="FF000080"/>
      <rgbColor rgb="FF808000"/>
      <rgbColor rgb="FF800080"/>
      <rgbColor rgb="FF356854"/>
      <rgbColor rgb="FFD9D9D9"/>
      <rgbColor rgb="FF808080"/>
      <rgbColor rgb="FF6FA8DC"/>
      <rgbColor rgb="FF993366"/>
      <rgbColor rgb="FFFFF2CC"/>
      <rgbColor rgb="FFDDEBF7"/>
      <rgbColor rgb="FF660066"/>
      <rgbColor rgb="FFF2F2F2"/>
      <rgbColor rgb="FF0066CC"/>
      <rgbColor rgb="FFD9D2E9"/>
      <rgbColor rgb="FF000080"/>
      <rgbColor rgb="FFFF00FF"/>
      <rgbColor rgb="FFFCE4D6"/>
      <rgbColor rgb="FF00FFFF"/>
      <rgbColor rgb="FF800080"/>
      <rgbColor rgb="FFC00000"/>
      <rgbColor rgb="FF008080"/>
      <rgbColor rgb="FF0000FF"/>
      <rgbColor rgb="FF00CCFF"/>
      <rgbColor rgb="FFE2EFDA"/>
      <rgbColor rgb="FFD9EAD3"/>
      <rgbColor rgb="FFFFE599"/>
      <rgbColor rgb="FFD0E0E3"/>
      <rgbColor rgb="FFEA9999"/>
      <rgbColor rgb="FFEAD1DC"/>
      <rgbColor rgb="FFF4CCCC"/>
      <rgbColor rgb="FF2E75B6"/>
      <rgbColor rgb="FF33CCCC"/>
      <rgbColor rgb="FF93C47D"/>
      <rgbColor rgb="FFF1C232"/>
      <rgbColor rgb="FFF8F8F8"/>
      <rgbColor rgb="FFFF6600"/>
      <rgbColor rgb="FF666666"/>
      <rgbColor rgb="FF999999"/>
      <rgbColor rgb="FF003366"/>
      <rgbColor rgb="FF00B050"/>
      <rgbColor rgb="FF003300"/>
      <rgbColor rgb="FF284E3F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533520</xdr:colOff>
      <xdr:row>11</xdr:row>
      <xdr:rowOff>28440</xdr:rowOff>
    </xdr:from>
    <xdr:to>
      <xdr:col>21</xdr:col>
      <xdr:colOff>245520</xdr:colOff>
      <xdr:row>13</xdr:row>
      <xdr:rowOff>178200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853920" y="2228760"/>
          <a:ext cx="1492560" cy="5497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_1" displayName="Table_1" ref="D8:F10" headerRowCount="0" totalsRowShown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_2" displayName="Table_2" ref="C12:D45" headerRowCount="0" totalsRowShown="0">
  <tableColumns count="2">
    <tableColumn id="1" xr3:uid="{00000000-0010-0000-0100-000001000000}" name="Column1"/>
    <tableColumn id="2" xr3:uid="{00000000-0010-0000-0100-000002000000}" name="Column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E43" totalsRowShown="0">
  <tableColumns count="5">
    <tableColumn id="1" xr3:uid="{00000000-0010-0000-0200-000001000000}" name="ID Asal"/>
    <tableColumn id="2" xr3:uid="{00000000-0010-0000-0200-000002000000}" name="Nama Kota"/>
    <tableColumn id="3" xr3:uid="{00000000-0010-0000-0200-000003000000}" name="Id Tujuan"/>
    <tableColumn id="4" xr3:uid="{00000000-0010-0000-0200-000004000000}" name="Nama Kota Tujuan"/>
    <tableColumn id="5" xr3:uid="{00000000-0010-0000-0200-000005000000}" name="Jarak(KM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N2:R46" totalsRowShown="0">
  <tableColumns count="5">
    <tableColumn id="1" xr3:uid="{00000000-0010-0000-0300-000001000000}" name="ID Asal"/>
    <tableColumn id="2" xr3:uid="{00000000-0010-0000-0300-000002000000}" name="Nama Kota"/>
    <tableColumn id="3" xr3:uid="{00000000-0010-0000-0300-000003000000}" name="Id Tujuan"/>
    <tableColumn id="4" xr3:uid="{00000000-0010-0000-0300-000004000000}" name="Nama Kota Tujuan"/>
    <tableColumn id="5" xr3:uid="{00000000-0010-0000-0300-000005000000}" name="Jarak(KM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_3" displayName="Table_3" ref="T3:X46" headerRowCount="0" totalsRowShown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F1:J43" totalsRowShown="0">
  <tableColumns count="5">
    <tableColumn id="1" xr3:uid="{00000000-0010-0000-0500-000001000000}" name="ID Asal"/>
    <tableColumn id="2" xr3:uid="{00000000-0010-0000-0500-000002000000}" name="Nama Kota"/>
    <tableColumn id="3" xr3:uid="{00000000-0010-0000-0500-000003000000}" name="Id Tujuan"/>
    <tableColumn id="4" xr3:uid="{00000000-0010-0000-0500-000004000000}" name="Nama Kota Tujuan"/>
    <tableColumn id="5" xr3:uid="{00000000-0010-0000-0500-000005000000}" name="Jarak(KM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L1:P45" totalsRowShown="0">
  <tableColumns count="5">
    <tableColumn id="1" xr3:uid="{00000000-0010-0000-0600-000001000000}" name="ID Asal"/>
    <tableColumn id="2" xr3:uid="{00000000-0010-0000-0600-000002000000}" name="Nama Kota"/>
    <tableColumn id="3" xr3:uid="{00000000-0010-0000-0600-000003000000}" name="Id Tujuan"/>
    <tableColumn id="4" xr3:uid="{00000000-0010-0000-0600-000004000000}" name="Nama Kota Tujuan"/>
    <tableColumn id="5" xr3:uid="{00000000-0010-0000-0600-000005000000}" name="Jarak(KM)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_4" displayName="Table_4" ref="R2:V45" headerRowCount="0" totalsRowShown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_5" displayName="Table_5" ref="E2:H28" headerRowCount="0" totalsRowShown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5" displayName="Table5" ref="B3:E57" totalsRowShown="0">
  <tableColumns count="4">
    <tableColumn id="1" xr3:uid="{00000000-0010-0000-0900-000001000000}" name="DC ID"/>
    <tableColumn id="2" xr3:uid="{00000000-0010-0000-0900-000002000000}" name="Area"/>
    <tableColumn id="3" xr3:uid="{00000000-0010-0000-0900-000003000000}" name="Type"/>
    <tableColumn id="4" xr3:uid="{00000000-0010-0000-0900-000004000000}" name="Capacity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7" displayName="Table_7" ref="B2:H29" headerRowCount="0" totalsRowShown="0">
  <tableColumns count="7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6zUUoSwMh_7Tqi-kTA__gdN4c5aFTCR9/view?usp=drive_link" TargetMode="External"/><Relationship Id="rId4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isnamotorbalirental.com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3"/>
  <sheetViews>
    <sheetView showGridLines="0" zoomScaleNormal="100" workbookViewId="0"/>
  </sheetViews>
  <sheetFormatPr defaultColWidth="8.6328125" defaultRowHeight="12.5"/>
  <cols>
    <col min="1" max="1" width="3" customWidth="1"/>
    <col min="2" max="2" width="32" customWidth="1"/>
    <col min="3" max="3" width="16" customWidth="1"/>
    <col min="4" max="4" width="12" customWidth="1"/>
    <col min="5" max="5" width="50" customWidth="1"/>
  </cols>
  <sheetData>
    <row r="1" spans="2:5" ht="27.75" customHeight="1">
      <c r="B1" s="14" t="s">
        <v>0</v>
      </c>
      <c r="C1" s="14"/>
      <c r="D1" s="14"/>
      <c r="E1" s="14"/>
    </row>
    <row r="3" spans="2:5" ht="32.25" customHeight="1">
      <c r="B3" s="15" t="s">
        <v>1</v>
      </c>
    </row>
    <row r="5" spans="2:5" ht="15" customHeight="1">
      <c r="B5" s="13" t="s">
        <v>2</v>
      </c>
      <c r="C5" s="13"/>
      <c r="D5" s="13"/>
      <c r="E5" s="13"/>
    </row>
    <row r="6" spans="2:5" ht="15" customHeight="1">
      <c r="B6" s="16" t="s">
        <v>3</v>
      </c>
      <c r="C6" s="16" t="s">
        <v>4</v>
      </c>
      <c r="D6" s="16" t="s">
        <v>5</v>
      </c>
      <c r="E6" s="16" t="s">
        <v>6</v>
      </c>
    </row>
    <row r="7" spans="2:5" ht="15" customHeight="1">
      <c r="B7" s="17" t="s">
        <v>7</v>
      </c>
      <c r="C7" s="18">
        <v>26</v>
      </c>
      <c r="D7" s="19" t="s">
        <v>8</v>
      </c>
      <c r="E7" s="20" t="s">
        <v>9</v>
      </c>
    </row>
    <row r="8" spans="2:5" ht="15" customHeight="1">
      <c r="B8" s="17" t="s">
        <v>10</v>
      </c>
      <c r="C8" s="18">
        <v>8</v>
      </c>
      <c r="D8" s="19" t="s">
        <v>11</v>
      </c>
      <c r="E8" s="20" t="s">
        <v>12</v>
      </c>
    </row>
    <row r="9" spans="2:5" ht="15" customHeight="1">
      <c r="B9" s="21" t="s">
        <v>13</v>
      </c>
      <c r="C9" s="22">
        <f>C7*C8</f>
        <v>208</v>
      </c>
      <c r="D9" s="19" t="s">
        <v>11</v>
      </c>
      <c r="E9" s="20" t="s">
        <v>14</v>
      </c>
    </row>
    <row r="10" spans="2:5" ht="15" customHeight="1">
      <c r="B10" s="17" t="s">
        <v>15</v>
      </c>
      <c r="C10" s="23">
        <v>45</v>
      </c>
      <c r="D10" s="19" t="s">
        <v>16</v>
      </c>
      <c r="E10" s="20" t="s">
        <v>17</v>
      </c>
    </row>
    <row r="12" spans="2:5" ht="15" customHeight="1">
      <c r="B12" s="12" t="s">
        <v>18</v>
      </c>
      <c r="C12" s="12"/>
      <c r="D12" s="12"/>
      <c r="E12" s="12"/>
    </row>
    <row r="14" spans="2:5" ht="15" customHeight="1">
      <c r="B14" s="13" t="s">
        <v>19</v>
      </c>
      <c r="C14" s="13"/>
      <c r="D14" s="13"/>
      <c r="E14" s="13"/>
    </row>
    <row r="15" spans="2:5" ht="15" customHeight="1">
      <c r="B15" s="16" t="s">
        <v>20</v>
      </c>
      <c r="C15" s="16" t="s">
        <v>21</v>
      </c>
      <c r="D15" s="16" t="s">
        <v>5</v>
      </c>
      <c r="E15" s="16" t="s">
        <v>22</v>
      </c>
    </row>
    <row r="16" spans="2:5" ht="15" customHeight="1">
      <c r="B16" s="17" t="s">
        <v>23</v>
      </c>
      <c r="C16" s="24">
        <v>6800</v>
      </c>
      <c r="D16" s="19" t="s">
        <v>24</v>
      </c>
      <c r="E16" s="20" t="s">
        <v>25</v>
      </c>
    </row>
    <row r="17" spans="2:5" ht="15" customHeight="1">
      <c r="B17" s="17" t="s">
        <v>26</v>
      </c>
      <c r="C17" s="24">
        <v>10000</v>
      </c>
      <c r="D17" s="19" t="s">
        <v>24</v>
      </c>
      <c r="E17" s="20" t="s">
        <v>27</v>
      </c>
    </row>
    <row r="19" spans="2:5" ht="15" customHeight="1">
      <c r="B19" s="13" t="s">
        <v>28</v>
      </c>
      <c r="C19" s="13"/>
      <c r="D19" s="13"/>
      <c r="E19" s="13"/>
    </row>
    <row r="20" spans="2:5" ht="23.25" customHeight="1">
      <c r="B20" s="16" t="s">
        <v>29</v>
      </c>
      <c r="C20" s="16" t="s">
        <v>30</v>
      </c>
      <c r="D20" s="16" t="s">
        <v>31</v>
      </c>
      <c r="E20" s="16" t="s">
        <v>20</v>
      </c>
    </row>
    <row r="21" spans="2:5" ht="15" customHeight="1">
      <c r="B21" s="21" t="s">
        <v>32</v>
      </c>
      <c r="C21" s="24">
        <v>280</v>
      </c>
      <c r="D21" s="25">
        <v>4</v>
      </c>
      <c r="E21" s="19" t="s">
        <v>33</v>
      </c>
    </row>
    <row r="22" spans="2:5" ht="15" customHeight="1">
      <c r="B22" s="21" t="s">
        <v>34</v>
      </c>
      <c r="C22" s="24">
        <v>200</v>
      </c>
      <c r="D22" s="25">
        <v>7</v>
      </c>
      <c r="E22" s="19" t="s">
        <v>33</v>
      </c>
    </row>
    <row r="23" spans="2:5" ht="15" customHeight="1">
      <c r="B23" s="21" t="s">
        <v>35</v>
      </c>
      <c r="C23" s="24">
        <v>120</v>
      </c>
      <c r="D23" s="25">
        <v>8</v>
      </c>
      <c r="E23" s="19" t="s">
        <v>26</v>
      </c>
    </row>
    <row r="24" spans="2:5" ht="15" customHeight="1">
      <c r="B24" s="21" t="s">
        <v>36</v>
      </c>
      <c r="C24" s="24">
        <v>80</v>
      </c>
      <c r="D24" s="25">
        <v>10</v>
      </c>
      <c r="E24" s="19" t="s">
        <v>26</v>
      </c>
    </row>
    <row r="25" spans="2:5" ht="15" customHeight="1">
      <c r="B25" s="21" t="s">
        <v>37</v>
      </c>
      <c r="C25" s="24">
        <v>5</v>
      </c>
      <c r="D25" s="25">
        <v>15</v>
      </c>
      <c r="E25" s="19" t="s">
        <v>26</v>
      </c>
    </row>
    <row r="27" spans="2:5" ht="15" customHeight="1">
      <c r="B27" s="13" t="s">
        <v>38</v>
      </c>
      <c r="C27" s="13"/>
      <c r="D27" s="13"/>
      <c r="E27" s="13"/>
    </row>
    <row r="28" spans="2:5" ht="15" customHeight="1">
      <c r="B28" s="16" t="s">
        <v>39</v>
      </c>
      <c r="C28" s="16" t="s">
        <v>40</v>
      </c>
      <c r="D28" s="16" t="s">
        <v>41</v>
      </c>
      <c r="E28" s="16" t="s">
        <v>42</v>
      </c>
    </row>
    <row r="29" spans="2:5" ht="15" customHeight="1">
      <c r="B29" s="21" t="s">
        <v>43</v>
      </c>
      <c r="C29" s="24">
        <v>2360</v>
      </c>
      <c r="D29" s="18">
        <v>67</v>
      </c>
      <c r="E29" s="20" t="s">
        <v>44</v>
      </c>
    </row>
    <row r="30" spans="2:5" ht="15" customHeight="1">
      <c r="B30" s="21" t="s">
        <v>45</v>
      </c>
      <c r="C30" s="24">
        <v>1600</v>
      </c>
      <c r="D30" s="18"/>
      <c r="E30" s="20" t="s">
        <v>46</v>
      </c>
    </row>
    <row r="31" spans="2:5" ht="15" customHeight="1">
      <c r="B31" s="21" t="s">
        <v>47</v>
      </c>
      <c r="C31" s="24">
        <v>1160</v>
      </c>
      <c r="D31" s="18">
        <v>33</v>
      </c>
      <c r="E31" s="20" t="s">
        <v>48</v>
      </c>
    </row>
    <row r="32" spans="2:5" ht="15" customHeight="1">
      <c r="B32" s="21" t="s">
        <v>49</v>
      </c>
      <c r="C32" s="24">
        <v>880</v>
      </c>
      <c r="D32" s="18"/>
      <c r="E32" s="20" t="s">
        <v>50</v>
      </c>
    </row>
    <row r="33" spans="2:5" ht="15" customHeight="1">
      <c r="B33" s="21" t="s">
        <v>32</v>
      </c>
      <c r="C33" s="24">
        <v>280</v>
      </c>
      <c r="D33" s="18">
        <v>25</v>
      </c>
      <c r="E33" s="20" t="s">
        <v>51</v>
      </c>
    </row>
  </sheetData>
  <mergeCells count="6">
    <mergeCell ref="B27:E27"/>
    <mergeCell ref="B1:E1"/>
    <mergeCell ref="B5:E5"/>
    <mergeCell ref="B12:E12"/>
    <mergeCell ref="B14:E14"/>
    <mergeCell ref="B19:E1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62"/>
  <sheetViews>
    <sheetView showGridLines="0" zoomScaleNormal="100" workbookViewId="0"/>
  </sheetViews>
  <sheetFormatPr defaultColWidth="8.6328125" defaultRowHeight="12.5"/>
  <cols>
    <col min="1" max="1" width="3" customWidth="1"/>
    <col min="2" max="2" width="6" customWidth="1"/>
    <col min="3" max="4" width="38" customWidth="1"/>
    <col min="5" max="5" width="6" customWidth="1"/>
  </cols>
  <sheetData>
    <row r="1" spans="2:4" ht="31.5" customHeight="1">
      <c r="B1" s="14" t="s">
        <v>52</v>
      </c>
      <c r="C1" s="14"/>
      <c r="D1" s="14"/>
    </row>
    <row r="2" spans="2:4" ht="15" customHeight="1">
      <c r="B2" s="11" t="s">
        <v>53</v>
      </c>
      <c r="C2" s="11"/>
      <c r="D2" s="11"/>
    </row>
    <row r="4" spans="2:4" ht="21.75" customHeight="1">
      <c r="B4" s="13" t="s">
        <v>54</v>
      </c>
      <c r="C4" s="13"/>
      <c r="D4" s="13"/>
    </row>
    <row r="5" spans="2:4" ht="15" customHeight="1">
      <c r="B5" s="11" t="s">
        <v>55</v>
      </c>
      <c r="C5" s="11"/>
      <c r="D5" s="11"/>
    </row>
    <row r="7" spans="2:4" ht="15" customHeight="1">
      <c r="B7" s="10" t="s">
        <v>56</v>
      </c>
      <c r="C7" s="10"/>
      <c r="D7" s="10"/>
    </row>
    <row r="8" spans="2:4" ht="15" customHeight="1">
      <c r="B8" s="26" t="s">
        <v>57</v>
      </c>
      <c r="C8" s="9" t="s">
        <v>58</v>
      </c>
      <c r="D8" s="9"/>
    </row>
    <row r="9" spans="2:4" ht="15" customHeight="1">
      <c r="B9" s="26" t="s">
        <v>59</v>
      </c>
      <c r="C9" s="9" t="s">
        <v>60</v>
      </c>
      <c r="D9" s="9"/>
    </row>
    <row r="10" spans="2:4" ht="15" customHeight="1">
      <c r="B10" s="26" t="s">
        <v>61</v>
      </c>
      <c r="C10" s="9" t="s">
        <v>62</v>
      </c>
      <c r="D10" s="9"/>
    </row>
    <row r="12" spans="2:4" ht="15" customHeight="1">
      <c r="B12" s="10" t="s">
        <v>63</v>
      </c>
      <c r="C12" s="10"/>
      <c r="D12" s="10"/>
    </row>
    <row r="13" spans="2:4" ht="15" customHeight="1">
      <c r="B13" s="27" t="s">
        <v>64</v>
      </c>
      <c r="C13" s="8" t="s">
        <v>65</v>
      </c>
      <c r="D13" s="8"/>
    </row>
    <row r="14" spans="2:4" ht="15" customHeight="1">
      <c r="B14" s="27" t="s">
        <v>66</v>
      </c>
      <c r="C14" s="8" t="s">
        <v>67</v>
      </c>
      <c r="D14" s="8"/>
    </row>
    <row r="15" spans="2:4" ht="15" customHeight="1">
      <c r="B15" s="27" t="s">
        <v>68</v>
      </c>
      <c r="C15" s="8" t="s">
        <v>69</v>
      </c>
      <c r="D15" s="8"/>
    </row>
    <row r="17" spans="2:4" ht="15" customHeight="1">
      <c r="B17" s="10" t="s">
        <v>70</v>
      </c>
      <c r="C17" s="10"/>
      <c r="D17" s="10"/>
    </row>
    <row r="18" spans="2:4" ht="27.75" customHeight="1">
      <c r="B18" s="7" t="s">
        <v>71</v>
      </c>
      <c r="C18" s="7"/>
      <c r="D18" s="7"/>
    </row>
    <row r="19" spans="2:4" ht="15" customHeight="1">
      <c r="B19" s="6" t="s">
        <v>72</v>
      </c>
      <c r="C19" s="6"/>
      <c r="D19" s="6"/>
    </row>
    <row r="21" spans="2:4" ht="15" customHeight="1">
      <c r="B21" s="10" t="s">
        <v>73</v>
      </c>
      <c r="C21" s="10"/>
      <c r="D21" s="10"/>
    </row>
    <row r="22" spans="2:4" ht="23.25" customHeight="1">
      <c r="B22" s="16" t="s">
        <v>74</v>
      </c>
      <c r="C22" s="27" t="s">
        <v>75</v>
      </c>
      <c r="D22" s="28" t="s">
        <v>76</v>
      </c>
    </row>
    <row r="23" spans="2:4" ht="15" customHeight="1">
      <c r="B23" s="16" t="s">
        <v>77</v>
      </c>
      <c r="C23" s="27" t="s">
        <v>78</v>
      </c>
      <c r="D23" s="28" t="s">
        <v>79</v>
      </c>
    </row>
    <row r="24" spans="2:4" ht="15" customHeight="1">
      <c r="B24" s="16" t="s">
        <v>80</v>
      </c>
      <c r="C24" s="27" t="s">
        <v>81</v>
      </c>
      <c r="D24" s="28" t="s">
        <v>82</v>
      </c>
    </row>
    <row r="25" spans="2:4" ht="15" customHeight="1">
      <c r="B25" s="16" t="s">
        <v>83</v>
      </c>
      <c r="C25" s="27" t="s">
        <v>84</v>
      </c>
      <c r="D25" s="28" t="s">
        <v>85</v>
      </c>
    </row>
    <row r="28" spans="2:4" ht="21.75" customHeight="1">
      <c r="B28" s="13" t="s">
        <v>86</v>
      </c>
      <c r="C28" s="13"/>
      <c r="D28" s="13"/>
    </row>
    <row r="29" spans="2:4" ht="15" customHeight="1">
      <c r="B29" s="11" t="s">
        <v>87</v>
      </c>
      <c r="C29" s="11"/>
      <c r="D29" s="11"/>
    </row>
    <row r="31" spans="2:4" ht="15" customHeight="1">
      <c r="B31" s="10" t="s">
        <v>56</v>
      </c>
      <c r="C31" s="10"/>
      <c r="D31" s="10"/>
    </row>
    <row r="32" spans="2:4" ht="15" customHeight="1">
      <c r="B32" s="26" t="s">
        <v>88</v>
      </c>
      <c r="C32" s="9" t="s">
        <v>89</v>
      </c>
      <c r="D32" s="9"/>
    </row>
    <row r="33" spans="2:4" ht="15" customHeight="1">
      <c r="B33" s="26" t="s">
        <v>90</v>
      </c>
      <c r="C33" s="9" t="s">
        <v>91</v>
      </c>
      <c r="D33" s="9"/>
    </row>
    <row r="34" spans="2:4" ht="15" customHeight="1">
      <c r="B34" s="26" t="s">
        <v>92</v>
      </c>
      <c r="C34" s="9" t="s">
        <v>93</v>
      </c>
      <c r="D34" s="9"/>
    </row>
    <row r="36" spans="2:4" ht="15" customHeight="1">
      <c r="B36" s="10" t="s">
        <v>63</v>
      </c>
      <c r="C36" s="10"/>
      <c r="D36" s="10"/>
    </row>
    <row r="37" spans="2:4" ht="15" customHeight="1">
      <c r="B37" s="27" t="s">
        <v>94</v>
      </c>
      <c r="C37" s="8" t="s">
        <v>95</v>
      </c>
      <c r="D37" s="8"/>
    </row>
    <row r="38" spans="2:4" ht="15" customHeight="1">
      <c r="B38" s="27" t="s">
        <v>96</v>
      </c>
      <c r="C38" s="8" t="s">
        <v>97</v>
      </c>
      <c r="D38" s="8"/>
    </row>
    <row r="39" spans="2:4" ht="15" customHeight="1">
      <c r="B39" s="27" t="s">
        <v>98</v>
      </c>
      <c r="C39" s="8" t="s">
        <v>99</v>
      </c>
      <c r="D39" s="8"/>
    </row>
    <row r="40" spans="2:4" ht="15" customHeight="1">
      <c r="B40" s="27" t="s">
        <v>100</v>
      </c>
      <c r="C40" s="8" t="s">
        <v>101</v>
      </c>
      <c r="D40" s="8"/>
    </row>
    <row r="42" spans="2:4" ht="15" customHeight="1">
      <c r="B42" s="10" t="s">
        <v>102</v>
      </c>
      <c r="C42" s="10"/>
      <c r="D42" s="10"/>
    </row>
    <row r="43" spans="2:4" ht="49.5" customHeight="1">
      <c r="B43" s="5" t="s">
        <v>103</v>
      </c>
      <c r="C43" s="5"/>
      <c r="D43" s="5"/>
    </row>
    <row r="44" spans="2:4" ht="21.75" customHeight="1">
      <c r="B44" s="6" t="s">
        <v>104</v>
      </c>
      <c r="C44" s="6"/>
      <c r="D44" s="6"/>
    </row>
    <row r="46" spans="2:4" ht="15" customHeight="1">
      <c r="B46" s="10" t="s">
        <v>73</v>
      </c>
      <c r="C46" s="10"/>
      <c r="D46" s="10"/>
    </row>
    <row r="47" spans="2:4" ht="15" customHeight="1">
      <c r="B47" s="16" t="s">
        <v>74</v>
      </c>
      <c r="C47" s="27" t="s">
        <v>105</v>
      </c>
      <c r="D47" s="28" t="s">
        <v>106</v>
      </c>
    </row>
    <row r="48" spans="2:4" ht="15" customHeight="1">
      <c r="B48" s="16" t="s">
        <v>77</v>
      </c>
      <c r="C48" s="27" t="s">
        <v>107</v>
      </c>
      <c r="D48" s="28" t="s">
        <v>108</v>
      </c>
    </row>
    <row r="49" spans="2:4" ht="15" customHeight="1">
      <c r="B49" s="16" t="s">
        <v>80</v>
      </c>
      <c r="C49" s="27" t="s">
        <v>109</v>
      </c>
      <c r="D49" s="28" t="s">
        <v>110</v>
      </c>
    </row>
    <row r="50" spans="2:4" ht="15" customHeight="1">
      <c r="B50" s="16" t="s">
        <v>83</v>
      </c>
      <c r="C50" s="27" t="s">
        <v>111</v>
      </c>
      <c r="D50" s="28" t="s">
        <v>112</v>
      </c>
    </row>
    <row r="51" spans="2:4" ht="15" customHeight="1">
      <c r="B51" s="16" t="s">
        <v>113</v>
      </c>
      <c r="C51" s="27" t="s">
        <v>114</v>
      </c>
      <c r="D51" s="28" t="s">
        <v>115</v>
      </c>
    </row>
    <row r="52" spans="2:4" ht="15" customHeight="1">
      <c r="B52" s="16" t="s">
        <v>116</v>
      </c>
      <c r="C52" s="27" t="s">
        <v>117</v>
      </c>
      <c r="D52" s="28" t="s">
        <v>118</v>
      </c>
    </row>
    <row r="53" spans="2:4" ht="23.25" customHeight="1">
      <c r="B53" s="29" t="s">
        <v>119</v>
      </c>
      <c r="C53" s="30" t="s">
        <v>120</v>
      </c>
      <c r="D53" s="31" t="s">
        <v>121</v>
      </c>
    </row>
    <row r="56" spans="2:4" ht="21.75" customHeight="1">
      <c r="B56" s="4" t="s">
        <v>122</v>
      </c>
      <c r="C56" s="4"/>
      <c r="D56" s="4"/>
    </row>
    <row r="57" spans="2:4" ht="15.75" customHeight="1">
      <c r="B57" s="6" t="s">
        <v>123</v>
      </c>
      <c r="C57" s="6"/>
      <c r="D57" s="6"/>
    </row>
    <row r="59" spans="2:4" ht="23.25" customHeight="1">
      <c r="B59" s="16" t="s">
        <v>124</v>
      </c>
      <c r="C59" s="7" t="s">
        <v>125</v>
      </c>
      <c r="D59" s="7"/>
    </row>
    <row r="60" spans="2:4" ht="23.25" customHeight="1">
      <c r="B60" s="16" t="s">
        <v>126</v>
      </c>
      <c r="C60" s="3" t="s">
        <v>127</v>
      </c>
      <c r="D60" s="3"/>
    </row>
    <row r="61" spans="2:4" ht="23.25" customHeight="1">
      <c r="B61" s="16" t="s">
        <v>128</v>
      </c>
      <c r="C61" s="9" t="s">
        <v>129</v>
      </c>
      <c r="D61" s="9"/>
    </row>
    <row r="62" spans="2:4" ht="15" customHeight="1">
      <c r="B62" s="16" t="s">
        <v>130</v>
      </c>
      <c r="C62" s="2" t="s">
        <v>131</v>
      </c>
      <c r="D62" s="2"/>
    </row>
  </sheetData>
  <mergeCells count="37">
    <mergeCell ref="C61:D61"/>
    <mergeCell ref="C62:D62"/>
    <mergeCell ref="B46:D46"/>
    <mergeCell ref="B56:D56"/>
    <mergeCell ref="B57:D57"/>
    <mergeCell ref="C59:D59"/>
    <mergeCell ref="C60:D60"/>
    <mergeCell ref="C39:D39"/>
    <mergeCell ref="C40:D40"/>
    <mergeCell ref="B42:D42"/>
    <mergeCell ref="B43:D43"/>
    <mergeCell ref="B44:D44"/>
    <mergeCell ref="C33:D33"/>
    <mergeCell ref="C34:D34"/>
    <mergeCell ref="B36:D36"/>
    <mergeCell ref="C37:D37"/>
    <mergeCell ref="C38:D38"/>
    <mergeCell ref="B21:D21"/>
    <mergeCell ref="B28:D28"/>
    <mergeCell ref="B29:D29"/>
    <mergeCell ref="B31:D31"/>
    <mergeCell ref="C32:D32"/>
    <mergeCell ref="C14:D14"/>
    <mergeCell ref="C15:D15"/>
    <mergeCell ref="B17:D17"/>
    <mergeCell ref="B18:D18"/>
    <mergeCell ref="B19:D19"/>
    <mergeCell ref="C8:D8"/>
    <mergeCell ref="C9:D9"/>
    <mergeCell ref="C10:D10"/>
    <mergeCell ref="B12:D12"/>
    <mergeCell ref="C13:D13"/>
    <mergeCell ref="B1:D1"/>
    <mergeCell ref="B2:D2"/>
    <mergeCell ref="B4:D4"/>
    <mergeCell ref="B5:D5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1"/>
  <sheetViews>
    <sheetView showGridLines="0" zoomScaleNormal="100" workbookViewId="0"/>
  </sheetViews>
  <sheetFormatPr defaultColWidth="8.6328125" defaultRowHeight="12.5"/>
  <cols>
    <col min="1" max="1" width="3" customWidth="1"/>
    <col min="2" max="2" width="35" customWidth="1"/>
    <col min="3" max="4" width="18" customWidth="1"/>
    <col min="5" max="5" width="12" customWidth="1"/>
    <col min="6" max="6" width="40" customWidth="1"/>
  </cols>
  <sheetData>
    <row r="1" spans="2:6" ht="27.75" customHeight="1">
      <c r="B1" s="14" t="s">
        <v>132</v>
      </c>
      <c r="C1" s="14"/>
      <c r="D1" s="14"/>
      <c r="E1" s="14"/>
      <c r="F1" s="14"/>
    </row>
    <row r="2" spans="2:6" ht="15" customHeight="1">
      <c r="B2" s="11" t="s">
        <v>133</v>
      </c>
      <c r="C2" s="11"/>
      <c r="D2" s="11"/>
      <c r="E2" s="11"/>
      <c r="F2" s="11"/>
    </row>
    <row r="4" spans="2:6" ht="15" customHeight="1">
      <c r="B4" s="13" t="s">
        <v>134</v>
      </c>
      <c r="C4" s="13"/>
      <c r="D4" s="13"/>
      <c r="E4" s="13"/>
      <c r="F4" s="13"/>
    </row>
    <row r="5" spans="2:6" ht="15" customHeight="1">
      <c r="B5" s="16" t="s">
        <v>135</v>
      </c>
      <c r="C5" s="1" t="s">
        <v>136</v>
      </c>
      <c r="D5" s="1"/>
      <c r="E5" s="1"/>
      <c r="F5" s="16" t="s">
        <v>137</v>
      </c>
    </row>
    <row r="6" spans="2:6" ht="21.75" customHeight="1">
      <c r="B6" s="28" t="s">
        <v>138</v>
      </c>
      <c r="C6" s="200" t="s">
        <v>139</v>
      </c>
      <c r="D6" s="200"/>
      <c r="E6" s="200"/>
      <c r="F6" s="32" t="s">
        <v>140</v>
      </c>
    </row>
    <row r="7" spans="2:6" ht="15" customHeight="1">
      <c r="B7" s="28" t="s">
        <v>141</v>
      </c>
      <c r="C7" s="200" t="s">
        <v>139</v>
      </c>
      <c r="D7" s="200"/>
      <c r="E7" s="200"/>
      <c r="F7" s="32" t="s">
        <v>142</v>
      </c>
    </row>
    <row r="8" spans="2:6" ht="23.25" customHeight="1">
      <c r="B8" s="28" t="s">
        <v>143</v>
      </c>
      <c r="C8" s="200" t="s">
        <v>139</v>
      </c>
      <c r="D8" s="200"/>
      <c r="E8" s="200"/>
      <c r="F8" s="32" t="s">
        <v>144</v>
      </c>
    </row>
    <row r="9" spans="2:6" ht="21.75" customHeight="1">
      <c r="B9" s="28" t="s">
        <v>145</v>
      </c>
      <c r="C9" s="200" t="s">
        <v>139</v>
      </c>
      <c r="D9" s="200"/>
      <c r="E9" s="200"/>
      <c r="F9" s="32" t="s">
        <v>146</v>
      </c>
    </row>
    <row r="10" spans="2:6" ht="15" customHeight="1">
      <c r="B10" s="28" t="s">
        <v>147</v>
      </c>
      <c r="C10" s="200" t="s">
        <v>139</v>
      </c>
      <c r="D10" s="200"/>
      <c r="E10" s="200"/>
      <c r="F10" s="32" t="s">
        <v>148</v>
      </c>
    </row>
    <row r="11" spans="2:6" ht="23.25" customHeight="1">
      <c r="B11" s="28" t="s">
        <v>149</v>
      </c>
      <c r="C11" s="200" t="s">
        <v>139</v>
      </c>
      <c r="D11" s="200"/>
      <c r="E11" s="200"/>
      <c r="F11" s="32" t="s">
        <v>150</v>
      </c>
    </row>
    <row r="12" spans="2:6" ht="23.25" customHeight="1">
      <c r="B12" s="28" t="s">
        <v>151</v>
      </c>
      <c r="C12" s="200" t="s">
        <v>139</v>
      </c>
      <c r="D12" s="200"/>
      <c r="E12" s="200"/>
      <c r="F12" s="32" t="s">
        <v>152</v>
      </c>
    </row>
    <row r="15" spans="2:6" ht="15" customHeight="1">
      <c r="B15" s="13" t="s">
        <v>153</v>
      </c>
      <c r="C15" s="13"/>
      <c r="D15" s="13"/>
      <c r="E15" s="13"/>
      <c r="F15" s="13"/>
    </row>
    <row r="16" spans="2:6" ht="15" customHeight="1">
      <c r="B16" s="16" t="s">
        <v>154</v>
      </c>
      <c r="C16" s="16" t="s">
        <v>155</v>
      </c>
      <c r="D16" s="16" t="s">
        <v>156</v>
      </c>
      <c r="E16" s="16" t="s">
        <v>157</v>
      </c>
      <c r="F16" s="16" t="s">
        <v>136</v>
      </c>
    </row>
    <row r="17" spans="2:6" ht="15" customHeight="1">
      <c r="B17" s="28" t="s">
        <v>158</v>
      </c>
      <c r="C17" s="33">
        <v>28496</v>
      </c>
      <c r="D17" s="33">
        <v>28496</v>
      </c>
      <c r="E17" s="34">
        <v>0</v>
      </c>
      <c r="F17" s="35" t="s">
        <v>159</v>
      </c>
    </row>
    <row r="18" spans="2:6" ht="15" customHeight="1">
      <c r="B18" s="28" t="s">
        <v>160</v>
      </c>
      <c r="C18" s="33">
        <v>17216</v>
      </c>
      <c r="D18" s="33">
        <v>37767</v>
      </c>
      <c r="E18" s="34">
        <v>20551</v>
      </c>
      <c r="F18" s="36" t="s">
        <v>161</v>
      </c>
    </row>
    <row r="19" spans="2:6" ht="15" customHeight="1">
      <c r="B19" s="28" t="s">
        <v>162</v>
      </c>
      <c r="C19" s="33">
        <v>6252</v>
      </c>
      <c r="D19" s="33">
        <v>14736</v>
      </c>
      <c r="E19" s="34">
        <v>8484</v>
      </c>
      <c r="F19" s="36" t="s">
        <v>163</v>
      </c>
    </row>
    <row r="20" spans="2:6" ht="15" customHeight="1">
      <c r="B20" s="28" t="s">
        <v>164</v>
      </c>
      <c r="C20" s="33">
        <v>8800</v>
      </c>
      <c r="D20" s="33">
        <v>62670</v>
      </c>
      <c r="E20" s="34">
        <v>53870</v>
      </c>
      <c r="F20" s="36" t="s">
        <v>165</v>
      </c>
    </row>
    <row r="21" spans="2:6" ht="15" customHeight="1">
      <c r="B21" s="28" t="s">
        <v>166</v>
      </c>
      <c r="C21" s="33">
        <v>6680</v>
      </c>
      <c r="D21" s="33">
        <v>25418</v>
      </c>
      <c r="E21" s="34">
        <v>18738</v>
      </c>
      <c r="F21" s="36" t="s">
        <v>167</v>
      </c>
    </row>
    <row r="22" spans="2:6" ht="15" customHeight="1">
      <c r="B22" s="28" t="s">
        <v>168</v>
      </c>
      <c r="C22" s="33">
        <v>7491</v>
      </c>
      <c r="D22" s="33">
        <v>23275</v>
      </c>
      <c r="E22" s="34">
        <v>15784</v>
      </c>
      <c r="F22" s="36" t="s">
        <v>169</v>
      </c>
    </row>
    <row r="23" spans="2:6" ht="15" customHeight="1">
      <c r="B23" s="28" t="s">
        <v>170</v>
      </c>
      <c r="C23" s="33">
        <v>16518</v>
      </c>
      <c r="D23" s="33">
        <v>21193</v>
      </c>
      <c r="E23" s="34">
        <v>4675</v>
      </c>
      <c r="F23" s="36" t="s">
        <v>171</v>
      </c>
    </row>
    <row r="24" spans="2:6" ht="15" customHeight="1">
      <c r="B24" s="28" t="s">
        <v>172</v>
      </c>
      <c r="C24" s="33">
        <v>22620</v>
      </c>
      <c r="D24" s="33">
        <v>47169</v>
      </c>
      <c r="E24" s="34">
        <v>24549</v>
      </c>
      <c r="F24" s="36" t="s">
        <v>173</v>
      </c>
    </row>
    <row r="25" spans="2:6" ht="15" customHeight="1">
      <c r="B25" s="28" t="s">
        <v>174</v>
      </c>
      <c r="C25" s="33">
        <v>2879</v>
      </c>
      <c r="D25" s="33">
        <v>2879</v>
      </c>
      <c r="E25" s="34">
        <v>0</v>
      </c>
      <c r="F25" s="35" t="s">
        <v>159</v>
      </c>
    </row>
    <row r="26" spans="2:6" ht="15" customHeight="1">
      <c r="B26" s="28" t="s">
        <v>175</v>
      </c>
      <c r="C26" s="33">
        <v>2010</v>
      </c>
      <c r="D26" s="33">
        <v>3340</v>
      </c>
      <c r="E26" s="34">
        <v>1330</v>
      </c>
      <c r="F26" s="36" t="s">
        <v>176</v>
      </c>
    </row>
    <row r="27" spans="2:6" ht="15" customHeight="1">
      <c r="B27" s="28" t="s">
        <v>177</v>
      </c>
      <c r="C27" s="33">
        <v>4632</v>
      </c>
      <c r="D27" s="33">
        <v>9255</v>
      </c>
      <c r="E27" s="34">
        <v>4623</v>
      </c>
      <c r="F27" s="36" t="s">
        <v>178</v>
      </c>
    </row>
    <row r="28" spans="2:6" ht="15" customHeight="1">
      <c r="B28" s="28" t="s">
        <v>179</v>
      </c>
      <c r="C28" s="33">
        <v>8377</v>
      </c>
      <c r="D28" s="33">
        <v>18499</v>
      </c>
      <c r="E28" s="34">
        <v>10122</v>
      </c>
      <c r="F28" s="36" t="s">
        <v>180</v>
      </c>
    </row>
    <row r="29" spans="2:6" ht="15" customHeight="1">
      <c r="B29" s="28" t="s">
        <v>181</v>
      </c>
      <c r="C29" s="33">
        <v>11295</v>
      </c>
      <c r="D29" s="33">
        <v>11295</v>
      </c>
      <c r="E29" s="34">
        <v>0</v>
      </c>
      <c r="F29" s="35" t="s">
        <v>159</v>
      </c>
    </row>
    <row r="30" spans="2:6" ht="15" customHeight="1">
      <c r="B30" s="28" t="s">
        <v>182</v>
      </c>
      <c r="C30" s="33">
        <v>4316</v>
      </c>
      <c r="D30" s="33">
        <v>10601</v>
      </c>
      <c r="E30" s="34">
        <v>6285</v>
      </c>
      <c r="F30" s="36" t="s">
        <v>183</v>
      </c>
    </row>
    <row r="31" spans="2:6" ht="15" customHeight="1">
      <c r="B31" s="28" t="s">
        <v>184</v>
      </c>
      <c r="C31" s="33">
        <v>12523</v>
      </c>
      <c r="D31" s="33">
        <v>12523</v>
      </c>
      <c r="E31" s="34">
        <v>0</v>
      </c>
      <c r="F31" s="35" t="s">
        <v>159</v>
      </c>
    </row>
    <row r="34" spans="2:6" ht="15" customHeight="1">
      <c r="B34" s="13" t="s">
        <v>185</v>
      </c>
      <c r="C34" s="13"/>
      <c r="D34" s="13"/>
      <c r="E34" s="13"/>
      <c r="F34" s="13"/>
    </row>
    <row r="35" spans="2:6" ht="15" customHeight="1">
      <c r="B35" s="16" t="s">
        <v>126</v>
      </c>
      <c r="C35" s="1" t="s">
        <v>186</v>
      </c>
      <c r="D35" s="1"/>
      <c r="E35" s="1"/>
      <c r="F35" s="16" t="s">
        <v>42</v>
      </c>
    </row>
    <row r="36" spans="2:6" ht="15" customHeight="1">
      <c r="B36" s="28" t="s">
        <v>187</v>
      </c>
      <c r="C36" s="201">
        <v>2969314226</v>
      </c>
      <c r="D36" s="201"/>
      <c r="E36" s="201"/>
      <c r="F36" s="32" t="s">
        <v>188</v>
      </c>
    </row>
    <row r="37" spans="2:6" ht="15" customHeight="1">
      <c r="B37" s="28" t="s">
        <v>189</v>
      </c>
      <c r="C37" s="201">
        <v>236013211</v>
      </c>
      <c r="D37" s="201"/>
      <c r="E37" s="201"/>
      <c r="F37" s="32" t="s">
        <v>190</v>
      </c>
    </row>
    <row r="38" spans="2:6" ht="15" customHeight="1">
      <c r="B38" s="28" t="s">
        <v>191</v>
      </c>
      <c r="C38" s="201">
        <v>396377594</v>
      </c>
      <c r="D38" s="201"/>
      <c r="E38" s="201"/>
      <c r="F38" s="32" t="s">
        <v>190</v>
      </c>
    </row>
    <row r="39" spans="2:6" ht="15" customHeight="1">
      <c r="B39" s="28" t="s">
        <v>192</v>
      </c>
      <c r="C39" s="201">
        <v>251018432</v>
      </c>
      <c r="D39" s="201"/>
      <c r="E39" s="201"/>
      <c r="F39" s="32" t="s">
        <v>193</v>
      </c>
    </row>
    <row r="40" spans="2:6" ht="15" customHeight="1">
      <c r="B40" s="28" t="s">
        <v>194</v>
      </c>
      <c r="C40" s="201">
        <v>392936204</v>
      </c>
      <c r="D40" s="201"/>
      <c r="E40" s="201"/>
      <c r="F40" s="32" t="s">
        <v>193</v>
      </c>
    </row>
    <row r="41" spans="2:6" ht="15" customHeight="1">
      <c r="B41" s="37" t="s">
        <v>195</v>
      </c>
      <c r="C41" s="202">
        <v>4245659667</v>
      </c>
      <c r="D41" s="202"/>
      <c r="E41" s="202"/>
      <c r="F41" s="38" t="s">
        <v>196</v>
      </c>
    </row>
  </sheetData>
  <mergeCells count="20">
    <mergeCell ref="C37:E37"/>
    <mergeCell ref="C38:E38"/>
    <mergeCell ref="C39:E39"/>
    <mergeCell ref="C40:E40"/>
    <mergeCell ref="C41:E41"/>
    <mergeCell ref="C12:E12"/>
    <mergeCell ref="B15:F15"/>
    <mergeCell ref="B34:F34"/>
    <mergeCell ref="C35:E35"/>
    <mergeCell ref="C36:E36"/>
    <mergeCell ref="C7:E7"/>
    <mergeCell ref="C8:E8"/>
    <mergeCell ref="C9:E9"/>
    <mergeCell ref="C10:E10"/>
    <mergeCell ref="C11:E11"/>
    <mergeCell ref="B1:F1"/>
    <mergeCell ref="B2:F2"/>
    <mergeCell ref="B4:F4"/>
    <mergeCell ref="C5:E5"/>
    <mergeCell ref="C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20"/>
  <sheetViews>
    <sheetView showGridLines="0" zoomScaleNormal="100" workbookViewId="0"/>
  </sheetViews>
  <sheetFormatPr defaultColWidth="8.6328125" defaultRowHeight="12.5"/>
  <cols>
    <col min="1" max="1" width="3" customWidth="1"/>
    <col min="2" max="2" width="55" customWidth="1"/>
    <col min="3" max="3" width="75" customWidth="1"/>
    <col min="4" max="4" width="3" customWidth="1"/>
  </cols>
  <sheetData>
    <row r="1" spans="2:3" ht="27.75" customHeight="1">
      <c r="B1" s="14" t="s">
        <v>197</v>
      </c>
      <c r="C1" s="14"/>
    </row>
    <row r="2" spans="2:3" ht="15" customHeight="1">
      <c r="B2" s="11" t="s">
        <v>198</v>
      </c>
      <c r="C2" s="11"/>
    </row>
    <row r="3" spans="2:3" ht="21.75" customHeight="1">
      <c r="B3" s="39" t="s">
        <v>6</v>
      </c>
      <c r="C3" s="39" t="s">
        <v>199</v>
      </c>
    </row>
    <row r="4" spans="2:3" ht="21.75" customHeight="1">
      <c r="B4" s="203" t="s">
        <v>200</v>
      </c>
      <c r="C4" s="203"/>
    </row>
    <row r="5" spans="2:3" ht="78" customHeight="1">
      <c r="B5" s="28" t="s">
        <v>201</v>
      </c>
      <c r="C5" s="40" t="s">
        <v>202</v>
      </c>
    </row>
    <row r="6" spans="2:3" ht="21.75" customHeight="1">
      <c r="B6" s="203" t="s">
        <v>203</v>
      </c>
      <c r="C6" s="203"/>
    </row>
    <row r="7" spans="2:3" ht="105.75" customHeight="1">
      <c r="B7" s="28" t="s">
        <v>204</v>
      </c>
      <c r="C7" s="40" t="s">
        <v>205</v>
      </c>
    </row>
    <row r="8" spans="2:3" ht="133.5" customHeight="1">
      <c r="B8" s="28" t="s">
        <v>206</v>
      </c>
      <c r="C8" s="40" t="s">
        <v>207</v>
      </c>
    </row>
    <row r="9" spans="2:3" ht="21.75" customHeight="1">
      <c r="B9" s="203" t="s">
        <v>208</v>
      </c>
      <c r="C9" s="203"/>
    </row>
    <row r="10" spans="2:3" ht="52.5" customHeight="1">
      <c r="B10" s="28" t="s">
        <v>209</v>
      </c>
      <c r="C10" s="40" t="s">
        <v>210</v>
      </c>
    </row>
    <row r="11" spans="2:3" ht="21.75" customHeight="1">
      <c r="B11" s="203" t="s">
        <v>211</v>
      </c>
      <c r="C11" s="203"/>
    </row>
    <row r="12" spans="2:3" ht="259.5" customHeight="1">
      <c r="B12" s="28" t="s">
        <v>212</v>
      </c>
      <c r="C12" s="40" t="s">
        <v>213</v>
      </c>
    </row>
    <row r="13" spans="2:3" ht="21.75" customHeight="1">
      <c r="B13" s="203" t="s">
        <v>214</v>
      </c>
      <c r="C13" s="203"/>
    </row>
    <row r="14" spans="2:3" ht="105.75" customHeight="1">
      <c r="B14" s="28" t="s">
        <v>215</v>
      </c>
      <c r="C14" s="40" t="s">
        <v>216</v>
      </c>
    </row>
    <row r="15" spans="2:3" ht="105.75" customHeight="1">
      <c r="B15" s="28" t="s">
        <v>217</v>
      </c>
      <c r="C15" s="40" t="s">
        <v>218</v>
      </c>
    </row>
    <row r="16" spans="2:3" ht="105.75" customHeight="1">
      <c r="B16" s="28" t="s">
        <v>219</v>
      </c>
      <c r="C16" s="40" t="s">
        <v>220</v>
      </c>
    </row>
    <row r="17" spans="2:3" ht="105.75" customHeight="1">
      <c r="B17" s="28" t="s">
        <v>221</v>
      </c>
      <c r="C17" s="40" t="s">
        <v>222</v>
      </c>
    </row>
    <row r="18" spans="2:3" ht="105.75" customHeight="1">
      <c r="B18" s="28" t="s">
        <v>223</v>
      </c>
      <c r="C18" s="40" t="s">
        <v>224</v>
      </c>
    </row>
    <row r="19" spans="2:3" ht="21.75" customHeight="1">
      <c r="B19" s="203" t="s">
        <v>225</v>
      </c>
      <c r="C19" s="203"/>
    </row>
    <row r="20" spans="2:3" ht="246" customHeight="1">
      <c r="B20" s="28" t="s">
        <v>226</v>
      </c>
      <c r="C20" s="40" t="s">
        <v>227</v>
      </c>
    </row>
  </sheetData>
  <mergeCells count="8">
    <mergeCell ref="B11:C11"/>
    <mergeCell ref="B13:C13"/>
    <mergeCell ref="B19:C19"/>
    <mergeCell ref="B1:C1"/>
    <mergeCell ref="B2:C2"/>
    <mergeCell ref="B4:C4"/>
    <mergeCell ref="B6:C6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4"/>
  <sheetViews>
    <sheetView showGridLines="0" zoomScaleNormal="100" workbookViewId="0"/>
  </sheetViews>
  <sheetFormatPr defaultColWidth="8.6328125" defaultRowHeight="12.5"/>
  <cols>
    <col min="1" max="1" width="6" customWidth="1"/>
    <col min="2" max="2" width="130" customWidth="1"/>
  </cols>
  <sheetData>
    <row r="1" spans="1:2" ht="27.75" customHeight="1">
      <c r="A1" s="14" t="s">
        <v>228</v>
      </c>
      <c r="B1" s="14"/>
    </row>
    <row r="2" spans="1:2" ht="15" customHeight="1">
      <c r="A2" s="11" t="s">
        <v>229</v>
      </c>
      <c r="B2" s="11"/>
    </row>
    <row r="4" spans="1:2" ht="21.75" customHeight="1">
      <c r="A4" s="204" t="s">
        <v>230</v>
      </c>
      <c r="B4" s="204"/>
    </row>
    <row r="5" spans="1:2" ht="13">
      <c r="A5" s="41">
        <v>1</v>
      </c>
      <c r="B5" s="42" t="s">
        <v>231</v>
      </c>
    </row>
    <row r="6" spans="1:2" ht="13">
      <c r="A6" s="41">
        <v>2</v>
      </c>
      <c r="B6" s="42" t="s">
        <v>232</v>
      </c>
    </row>
    <row r="7" spans="1:2" ht="13">
      <c r="A7" s="41">
        <v>3</v>
      </c>
      <c r="B7" s="42" t="s">
        <v>231</v>
      </c>
    </row>
    <row r="8" spans="1:2" ht="13">
      <c r="A8" s="41">
        <v>4</v>
      </c>
      <c r="B8" s="43" t="s">
        <v>233</v>
      </c>
    </row>
    <row r="9" spans="1:2" ht="13">
      <c r="A9" s="41">
        <v>5</v>
      </c>
      <c r="B9" s="43" t="s">
        <v>234</v>
      </c>
    </row>
    <row r="10" spans="1:2" ht="13">
      <c r="A10" s="41">
        <v>6</v>
      </c>
      <c r="B10" s="43" t="s">
        <v>235</v>
      </c>
    </row>
    <row r="11" spans="1:2" ht="13">
      <c r="A11" s="41">
        <v>7</v>
      </c>
      <c r="B11" s="43" t="s">
        <v>236</v>
      </c>
    </row>
    <row r="12" spans="1:2" ht="13">
      <c r="A12" s="41">
        <v>8</v>
      </c>
      <c r="B12" s="43" t="s">
        <v>237</v>
      </c>
    </row>
    <row r="13" spans="1:2" ht="13">
      <c r="A13" s="41">
        <v>9</v>
      </c>
      <c r="B13" s="42" t="s">
        <v>238</v>
      </c>
    </row>
    <row r="14" spans="1:2" ht="13">
      <c r="A14" s="41">
        <v>10</v>
      </c>
      <c r="B14" s="43" t="s">
        <v>239</v>
      </c>
    </row>
    <row r="15" spans="1:2" ht="13">
      <c r="A15" s="41">
        <v>11</v>
      </c>
      <c r="B15" s="43" t="s">
        <v>240</v>
      </c>
    </row>
    <row r="16" spans="1:2" ht="13">
      <c r="A16" s="41">
        <v>12</v>
      </c>
      <c r="B16" s="43" t="s">
        <v>241</v>
      </c>
    </row>
    <row r="17" spans="1:2" ht="13">
      <c r="A17" s="41">
        <v>13</v>
      </c>
      <c r="B17" s="43" t="s">
        <v>242</v>
      </c>
    </row>
    <row r="18" spans="1:2" ht="13">
      <c r="A18" s="41">
        <v>14</v>
      </c>
      <c r="B18" s="43" t="s">
        <v>243</v>
      </c>
    </row>
    <row r="19" spans="1:2" ht="13">
      <c r="A19" s="41">
        <v>15</v>
      </c>
      <c r="B19" s="43" t="s">
        <v>244</v>
      </c>
    </row>
    <row r="20" spans="1:2" ht="13">
      <c r="A20" s="41">
        <v>16</v>
      </c>
      <c r="B20" s="43" t="s">
        <v>245</v>
      </c>
    </row>
    <row r="21" spans="1:2" ht="13">
      <c r="A21" s="41">
        <v>17</v>
      </c>
      <c r="B21" s="43" t="s">
        <v>246</v>
      </c>
    </row>
    <row r="22" spans="1:2" ht="13">
      <c r="A22" s="41">
        <v>18</v>
      </c>
      <c r="B22" s="43" t="s">
        <v>247</v>
      </c>
    </row>
    <row r="23" spans="1:2" ht="13">
      <c r="A23" s="41">
        <v>19</v>
      </c>
      <c r="B23" s="43" t="s">
        <v>248</v>
      </c>
    </row>
    <row r="24" spans="1:2" ht="13">
      <c r="A24" s="41">
        <v>20</v>
      </c>
      <c r="B24" s="43" t="s">
        <v>249</v>
      </c>
    </row>
    <row r="25" spans="1:2" ht="13">
      <c r="A25" s="41">
        <v>21</v>
      </c>
      <c r="B25" s="43" t="s">
        <v>250</v>
      </c>
    </row>
    <row r="26" spans="1:2" ht="13">
      <c r="A26" s="41">
        <v>22</v>
      </c>
      <c r="B26" s="43" t="s">
        <v>251</v>
      </c>
    </row>
    <row r="27" spans="1:2" ht="13">
      <c r="A27" s="41">
        <v>23</v>
      </c>
      <c r="B27" s="43" t="s">
        <v>252</v>
      </c>
    </row>
    <row r="28" spans="1:2" ht="13">
      <c r="A28" s="41">
        <v>24</v>
      </c>
      <c r="B28" s="43" t="s">
        <v>253</v>
      </c>
    </row>
    <row r="29" spans="1:2" ht="13">
      <c r="A29" s="41">
        <v>25</v>
      </c>
      <c r="B29" s="43" t="s">
        <v>237</v>
      </c>
    </row>
    <row r="30" spans="1:2" ht="13">
      <c r="A30" s="41">
        <v>26</v>
      </c>
      <c r="B30" s="42" t="s">
        <v>254</v>
      </c>
    </row>
    <row r="31" spans="1:2" ht="13">
      <c r="A31" s="41">
        <v>27</v>
      </c>
      <c r="B31" s="43" t="s">
        <v>255</v>
      </c>
    </row>
    <row r="32" spans="1:2" ht="13">
      <c r="A32" s="41">
        <v>28</v>
      </c>
      <c r="B32" s="43" t="s">
        <v>256</v>
      </c>
    </row>
    <row r="33" spans="1:2" ht="13">
      <c r="A33" s="41">
        <v>29</v>
      </c>
      <c r="B33" s="43" t="s">
        <v>257</v>
      </c>
    </row>
    <row r="34" spans="1:2" ht="13">
      <c r="A34" s="41">
        <v>30</v>
      </c>
      <c r="B34" s="43" t="s">
        <v>258</v>
      </c>
    </row>
    <row r="35" spans="1:2" ht="13">
      <c r="A35" s="41">
        <v>31</v>
      </c>
      <c r="B35" s="43" t="s">
        <v>259</v>
      </c>
    </row>
    <row r="36" spans="1:2" ht="13">
      <c r="A36" s="41">
        <v>32</v>
      </c>
      <c r="B36" s="43" t="s">
        <v>260</v>
      </c>
    </row>
    <row r="37" spans="1:2" ht="13">
      <c r="A37" s="41">
        <v>33</v>
      </c>
      <c r="B37" s="43" t="s">
        <v>261</v>
      </c>
    </row>
    <row r="38" spans="1:2" ht="13">
      <c r="A38" s="41">
        <v>34</v>
      </c>
      <c r="B38" s="43" t="s">
        <v>237</v>
      </c>
    </row>
    <row r="39" spans="1:2" ht="13">
      <c r="A39" s="41">
        <v>35</v>
      </c>
      <c r="B39" s="42" t="s">
        <v>262</v>
      </c>
    </row>
    <row r="40" spans="1:2" ht="13">
      <c r="A40" s="41">
        <v>36</v>
      </c>
      <c r="B40" s="43" t="s">
        <v>263</v>
      </c>
    </row>
    <row r="41" spans="1:2" ht="13">
      <c r="A41" s="41">
        <v>37</v>
      </c>
      <c r="B41" s="43" t="s">
        <v>264</v>
      </c>
    </row>
    <row r="42" spans="1:2" ht="13">
      <c r="A42" s="41">
        <v>38</v>
      </c>
      <c r="B42" s="43" t="s">
        <v>265</v>
      </c>
    </row>
    <row r="43" spans="1:2" ht="13">
      <c r="A43" s="41">
        <v>39</v>
      </c>
      <c r="B43" s="43" t="s">
        <v>266</v>
      </c>
    </row>
    <row r="44" spans="1:2" ht="13">
      <c r="A44" s="41">
        <v>40</v>
      </c>
      <c r="B44" s="43" t="s">
        <v>267</v>
      </c>
    </row>
    <row r="45" spans="1:2" ht="13">
      <c r="A45" s="41">
        <v>41</v>
      </c>
      <c r="B45" s="43" t="s">
        <v>268</v>
      </c>
    </row>
    <row r="46" spans="1:2" ht="13">
      <c r="A46" s="41">
        <v>42</v>
      </c>
      <c r="B46" s="43" t="s">
        <v>269</v>
      </c>
    </row>
    <row r="47" spans="1:2" ht="13">
      <c r="A47" s="41">
        <v>43</v>
      </c>
      <c r="B47" s="43" t="s">
        <v>270</v>
      </c>
    </row>
    <row r="48" spans="1:2" ht="13">
      <c r="A48" s="41">
        <v>44</v>
      </c>
      <c r="B48" s="43" t="s">
        <v>271</v>
      </c>
    </row>
    <row r="49" spans="1:2" ht="13">
      <c r="A49" s="41">
        <v>45</v>
      </c>
      <c r="B49" s="43" t="s">
        <v>272</v>
      </c>
    </row>
    <row r="50" spans="1:2" ht="13">
      <c r="A50" s="41">
        <v>46</v>
      </c>
      <c r="B50" s="43" t="s">
        <v>273</v>
      </c>
    </row>
    <row r="51" spans="1:2" ht="13">
      <c r="A51" s="41">
        <v>47</v>
      </c>
      <c r="B51" s="43" t="s">
        <v>274</v>
      </c>
    </row>
    <row r="52" spans="1:2" ht="13">
      <c r="A52" s="41">
        <v>48</v>
      </c>
      <c r="B52" s="43" t="s">
        <v>275</v>
      </c>
    </row>
    <row r="53" spans="1:2" ht="13">
      <c r="A53" s="41">
        <v>49</v>
      </c>
      <c r="B53" s="43" t="s">
        <v>276</v>
      </c>
    </row>
    <row r="54" spans="1:2" ht="13">
      <c r="A54" s="41">
        <v>50</v>
      </c>
      <c r="B54" s="43" t="s">
        <v>277</v>
      </c>
    </row>
    <row r="55" spans="1:2" ht="13">
      <c r="A55" s="41">
        <v>51</v>
      </c>
      <c r="B55" s="43" t="s">
        <v>278</v>
      </c>
    </row>
    <row r="56" spans="1:2" ht="13">
      <c r="A56" s="41">
        <v>52</v>
      </c>
      <c r="B56" s="43" t="s">
        <v>279</v>
      </c>
    </row>
    <row r="57" spans="1:2" ht="13">
      <c r="A57" s="41">
        <v>53</v>
      </c>
      <c r="B57" s="43" t="s">
        <v>280</v>
      </c>
    </row>
    <row r="58" spans="1:2" ht="13">
      <c r="A58" s="41">
        <v>54</v>
      </c>
      <c r="B58" s="43" t="s">
        <v>281</v>
      </c>
    </row>
    <row r="59" spans="1:2" ht="13">
      <c r="A59" s="41">
        <v>55</v>
      </c>
      <c r="B59" s="43" t="s">
        <v>282</v>
      </c>
    </row>
    <row r="60" spans="1:2" ht="13">
      <c r="A60" s="41">
        <v>56</v>
      </c>
      <c r="B60" s="43" t="s">
        <v>283</v>
      </c>
    </row>
    <row r="61" spans="1:2" ht="13">
      <c r="A61" s="41">
        <v>57</v>
      </c>
      <c r="B61" s="43" t="s">
        <v>284</v>
      </c>
    </row>
    <row r="62" spans="1:2" ht="13">
      <c r="A62" s="41">
        <v>58</v>
      </c>
      <c r="B62" s="43" t="s">
        <v>285</v>
      </c>
    </row>
    <row r="63" spans="1:2" ht="13">
      <c r="A63" s="41">
        <v>59</v>
      </c>
      <c r="B63" s="43" t="s">
        <v>286</v>
      </c>
    </row>
    <row r="64" spans="1:2" ht="13">
      <c r="A64" s="41">
        <v>60</v>
      </c>
      <c r="B64" s="43" t="s">
        <v>237</v>
      </c>
    </row>
    <row r="65" spans="1:2" ht="13">
      <c r="A65" s="41">
        <v>61</v>
      </c>
      <c r="B65" s="42" t="s">
        <v>287</v>
      </c>
    </row>
    <row r="66" spans="1:2" ht="13">
      <c r="A66" s="41">
        <v>62</v>
      </c>
      <c r="B66" s="43" t="s">
        <v>288</v>
      </c>
    </row>
    <row r="67" spans="1:2" ht="13">
      <c r="A67" s="41">
        <v>63</v>
      </c>
      <c r="B67" s="43" t="s">
        <v>237</v>
      </c>
    </row>
    <row r="68" spans="1:2" ht="13">
      <c r="A68" s="41">
        <v>64</v>
      </c>
      <c r="B68" s="43" t="s">
        <v>289</v>
      </c>
    </row>
    <row r="69" spans="1:2" ht="13">
      <c r="A69" s="41">
        <v>65</v>
      </c>
      <c r="B69" s="43" t="s">
        <v>290</v>
      </c>
    </row>
    <row r="70" spans="1:2" ht="13">
      <c r="A70" s="41">
        <v>66</v>
      </c>
      <c r="B70" s="43" t="s">
        <v>291</v>
      </c>
    </row>
    <row r="71" spans="1:2" ht="13">
      <c r="A71" s="41">
        <v>67</v>
      </c>
      <c r="B71" s="43" t="s">
        <v>292</v>
      </c>
    </row>
    <row r="72" spans="1:2" ht="13">
      <c r="A72" s="41">
        <v>68</v>
      </c>
      <c r="B72" s="43" t="s">
        <v>293</v>
      </c>
    </row>
    <row r="73" spans="1:2" ht="13">
      <c r="A73" s="41">
        <v>69</v>
      </c>
      <c r="B73" s="43" t="s">
        <v>294</v>
      </c>
    </row>
    <row r="74" spans="1:2" ht="13">
      <c r="A74" s="41">
        <v>70</v>
      </c>
      <c r="B74" s="43" t="s">
        <v>237</v>
      </c>
    </row>
    <row r="75" spans="1:2" ht="13">
      <c r="A75" s="41">
        <v>71</v>
      </c>
      <c r="B75" s="42" t="s">
        <v>295</v>
      </c>
    </row>
    <row r="76" spans="1:2" ht="13">
      <c r="A76" s="41">
        <v>72</v>
      </c>
      <c r="B76" s="43" t="s">
        <v>296</v>
      </c>
    </row>
    <row r="77" spans="1:2" ht="13">
      <c r="A77" s="41">
        <v>73</v>
      </c>
      <c r="B77" s="43" t="s">
        <v>297</v>
      </c>
    </row>
    <row r="78" spans="1:2" ht="13">
      <c r="A78" s="41">
        <v>74</v>
      </c>
      <c r="B78" s="43" t="s">
        <v>298</v>
      </c>
    </row>
    <row r="79" spans="1:2" ht="13">
      <c r="A79" s="41">
        <v>75</v>
      </c>
      <c r="B79" s="43" t="s">
        <v>299</v>
      </c>
    </row>
    <row r="80" spans="1:2" ht="13">
      <c r="A80" s="41">
        <v>76</v>
      </c>
      <c r="B80" s="43" t="s">
        <v>237</v>
      </c>
    </row>
    <row r="81" spans="1:2" ht="13">
      <c r="A81" s="41">
        <v>77</v>
      </c>
      <c r="B81" s="42" t="s">
        <v>300</v>
      </c>
    </row>
    <row r="82" spans="1:2" ht="13">
      <c r="A82" s="41">
        <v>78</v>
      </c>
      <c r="B82" s="43" t="s">
        <v>301</v>
      </c>
    </row>
    <row r="83" spans="1:2" ht="13">
      <c r="A83" s="41">
        <v>79</v>
      </c>
      <c r="B83" s="43" t="s">
        <v>302</v>
      </c>
    </row>
    <row r="84" spans="1:2" ht="13">
      <c r="A84" s="41">
        <v>80</v>
      </c>
      <c r="B84" s="43" t="s">
        <v>303</v>
      </c>
    </row>
    <row r="85" spans="1:2" ht="13">
      <c r="A85" s="41">
        <v>81</v>
      </c>
      <c r="B85" s="43" t="s">
        <v>304</v>
      </c>
    </row>
    <row r="86" spans="1:2" ht="13">
      <c r="A86" s="41">
        <v>82</v>
      </c>
      <c r="B86" s="43" t="s">
        <v>237</v>
      </c>
    </row>
    <row r="87" spans="1:2" ht="13">
      <c r="A87" s="41">
        <v>83</v>
      </c>
      <c r="B87" s="42" t="s">
        <v>305</v>
      </c>
    </row>
    <row r="88" spans="1:2" ht="13">
      <c r="A88" s="41">
        <v>84</v>
      </c>
      <c r="B88" s="43" t="s">
        <v>306</v>
      </c>
    </row>
    <row r="89" spans="1:2" ht="13">
      <c r="A89" s="41">
        <v>85</v>
      </c>
      <c r="B89" s="43" t="s">
        <v>307</v>
      </c>
    </row>
    <row r="90" spans="1:2" ht="13">
      <c r="A90" s="41">
        <v>86</v>
      </c>
      <c r="B90" s="43" t="s">
        <v>308</v>
      </c>
    </row>
    <row r="91" spans="1:2" ht="13">
      <c r="A91" s="41">
        <v>87</v>
      </c>
      <c r="B91" s="43" t="s">
        <v>237</v>
      </c>
    </row>
    <row r="92" spans="1:2" ht="13">
      <c r="A92" s="41">
        <v>88</v>
      </c>
      <c r="B92" s="42" t="s">
        <v>309</v>
      </c>
    </row>
    <row r="93" spans="1:2" ht="13">
      <c r="A93" s="41">
        <v>89</v>
      </c>
      <c r="B93" s="43" t="s">
        <v>310</v>
      </c>
    </row>
    <row r="94" spans="1:2" ht="13">
      <c r="A94" s="41">
        <v>90</v>
      </c>
      <c r="B94" s="43" t="s">
        <v>311</v>
      </c>
    </row>
    <row r="95" spans="1:2" ht="13">
      <c r="A95" s="41">
        <v>91</v>
      </c>
      <c r="B95" s="43" t="s">
        <v>312</v>
      </c>
    </row>
    <row r="96" spans="1:2" ht="13">
      <c r="A96" s="41">
        <v>92</v>
      </c>
      <c r="B96" s="43" t="s">
        <v>313</v>
      </c>
    </row>
    <row r="97" spans="1:2" ht="13">
      <c r="A97" s="41">
        <v>93</v>
      </c>
      <c r="B97" s="43" t="s">
        <v>314</v>
      </c>
    </row>
    <row r="98" spans="1:2" ht="13">
      <c r="A98" s="41">
        <v>94</v>
      </c>
      <c r="B98" s="43" t="s">
        <v>315</v>
      </c>
    </row>
    <row r="99" spans="1:2" ht="13">
      <c r="A99" s="41">
        <v>95</v>
      </c>
      <c r="B99" s="43" t="s">
        <v>316</v>
      </c>
    </row>
    <row r="100" spans="1:2" ht="13">
      <c r="A100" s="41">
        <v>96</v>
      </c>
      <c r="B100" s="43" t="s">
        <v>237</v>
      </c>
    </row>
    <row r="101" spans="1:2" ht="13">
      <c r="A101" s="41">
        <v>97</v>
      </c>
      <c r="B101" s="42" t="s">
        <v>317</v>
      </c>
    </row>
    <row r="102" spans="1:2" ht="13">
      <c r="A102" s="41">
        <v>98</v>
      </c>
      <c r="B102" s="43" t="s">
        <v>318</v>
      </c>
    </row>
    <row r="103" spans="1:2" ht="13">
      <c r="A103" s="41">
        <v>99</v>
      </c>
      <c r="B103" s="43" t="s">
        <v>237</v>
      </c>
    </row>
    <row r="104" spans="1:2" ht="13">
      <c r="A104" s="41">
        <v>100</v>
      </c>
      <c r="B104" s="42" t="s">
        <v>319</v>
      </c>
    </row>
    <row r="105" spans="1:2" ht="13">
      <c r="A105" s="41">
        <v>101</v>
      </c>
      <c r="B105" s="43" t="s">
        <v>320</v>
      </c>
    </row>
    <row r="106" spans="1:2" ht="13">
      <c r="A106" s="41">
        <v>102</v>
      </c>
      <c r="B106" s="43" t="s">
        <v>315</v>
      </c>
    </row>
    <row r="107" spans="1:2" ht="13">
      <c r="A107" s="41">
        <v>103</v>
      </c>
      <c r="B107" s="43" t="s">
        <v>321</v>
      </c>
    </row>
    <row r="108" spans="1:2" ht="13">
      <c r="A108" s="41">
        <v>104</v>
      </c>
      <c r="B108" s="43" t="s">
        <v>322</v>
      </c>
    </row>
    <row r="109" spans="1:2" ht="13">
      <c r="A109" s="41">
        <v>105</v>
      </c>
      <c r="B109" s="43" t="s">
        <v>237</v>
      </c>
    </row>
    <row r="110" spans="1:2" ht="13">
      <c r="A110" s="41">
        <v>106</v>
      </c>
      <c r="B110" s="43" t="s">
        <v>323</v>
      </c>
    </row>
    <row r="111" spans="1:2" ht="13">
      <c r="A111" s="41">
        <v>107</v>
      </c>
      <c r="B111" s="43" t="s">
        <v>237</v>
      </c>
    </row>
    <row r="112" spans="1:2" ht="13">
      <c r="A112" s="41">
        <v>108</v>
      </c>
      <c r="B112" s="42" t="s">
        <v>324</v>
      </c>
    </row>
    <row r="113" spans="1:2" ht="13">
      <c r="A113" s="41">
        <v>109</v>
      </c>
      <c r="B113" s="43" t="s">
        <v>325</v>
      </c>
    </row>
    <row r="114" spans="1:2" ht="13">
      <c r="A114" s="41">
        <v>110</v>
      </c>
      <c r="B114" s="43" t="s">
        <v>326</v>
      </c>
    </row>
    <row r="115" spans="1:2" ht="13">
      <c r="A115" s="41">
        <v>111</v>
      </c>
      <c r="B115" s="43" t="s">
        <v>327</v>
      </c>
    </row>
    <row r="116" spans="1:2" ht="13">
      <c r="A116" s="41">
        <v>112</v>
      </c>
      <c r="B116" s="43" t="s">
        <v>237</v>
      </c>
    </row>
    <row r="117" spans="1:2" ht="13">
      <c r="A117" s="41">
        <v>113</v>
      </c>
      <c r="B117" s="43" t="s">
        <v>328</v>
      </c>
    </row>
    <row r="118" spans="1:2" ht="13">
      <c r="A118" s="41">
        <v>114</v>
      </c>
      <c r="B118" s="43" t="s">
        <v>329</v>
      </c>
    </row>
    <row r="119" spans="1:2" ht="13">
      <c r="A119" s="41">
        <v>115</v>
      </c>
      <c r="B119" s="43" t="s">
        <v>330</v>
      </c>
    </row>
    <row r="121" spans="1:2" ht="21.75" customHeight="1">
      <c r="A121" s="204" t="s">
        <v>331</v>
      </c>
      <c r="B121" s="204"/>
    </row>
    <row r="122" spans="1:2" ht="13">
      <c r="A122" s="41">
        <v>1</v>
      </c>
      <c r="B122" s="42" t="s">
        <v>231</v>
      </c>
    </row>
    <row r="123" spans="1:2" ht="13">
      <c r="A123" s="41">
        <v>2</v>
      </c>
      <c r="B123" s="42" t="s">
        <v>332</v>
      </c>
    </row>
    <row r="124" spans="1:2" ht="13">
      <c r="A124" s="41">
        <v>3</v>
      </c>
      <c r="B124" s="42" t="s">
        <v>231</v>
      </c>
    </row>
    <row r="125" spans="1:2" ht="13">
      <c r="A125" s="41">
        <v>4</v>
      </c>
      <c r="B125" s="43" t="s">
        <v>233</v>
      </c>
    </row>
    <row r="126" spans="1:2" ht="13">
      <c r="A126" s="41">
        <v>5</v>
      </c>
      <c r="B126" s="43" t="s">
        <v>234</v>
      </c>
    </row>
    <row r="127" spans="1:2" ht="13">
      <c r="A127" s="41">
        <v>6</v>
      </c>
      <c r="B127" s="43" t="s">
        <v>235</v>
      </c>
    </row>
    <row r="128" spans="1:2" ht="13">
      <c r="A128" s="41">
        <v>7</v>
      </c>
      <c r="B128" s="43" t="s">
        <v>237</v>
      </c>
    </row>
    <row r="129" spans="1:2" ht="13">
      <c r="A129" s="41">
        <v>8</v>
      </c>
      <c r="B129" s="42" t="s">
        <v>333</v>
      </c>
    </row>
    <row r="130" spans="1:2" ht="13">
      <c r="A130" s="41">
        <v>9</v>
      </c>
      <c r="B130" s="43" t="s">
        <v>239</v>
      </c>
    </row>
    <row r="131" spans="1:2" ht="13">
      <c r="A131" s="41">
        <v>10</v>
      </c>
      <c r="B131" s="43" t="s">
        <v>334</v>
      </c>
    </row>
    <row r="132" spans="1:2" ht="13">
      <c r="A132" s="41">
        <v>11</v>
      </c>
      <c r="B132" s="43" t="s">
        <v>335</v>
      </c>
    </row>
    <row r="133" spans="1:2" ht="13">
      <c r="A133" s="41">
        <v>12</v>
      </c>
      <c r="B133" s="43" t="s">
        <v>253</v>
      </c>
    </row>
    <row r="134" spans="1:2" ht="13">
      <c r="A134" s="41">
        <v>13</v>
      </c>
      <c r="B134" s="43" t="s">
        <v>237</v>
      </c>
    </row>
    <row r="135" spans="1:2" ht="13">
      <c r="A135" s="41">
        <v>14</v>
      </c>
      <c r="B135" s="42" t="s">
        <v>336</v>
      </c>
    </row>
    <row r="136" spans="1:2" ht="13">
      <c r="A136" s="41">
        <v>15</v>
      </c>
      <c r="B136" s="43" t="s">
        <v>255</v>
      </c>
    </row>
    <row r="137" spans="1:2" ht="13">
      <c r="A137" s="41">
        <v>16</v>
      </c>
      <c r="B137" s="43" t="s">
        <v>256</v>
      </c>
    </row>
    <row r="138" spans="1:2" ht="13">
      <c r="A138" s="41">
        <v>17</v>
      </c>
      <c r="B138" s="43" t="s">
        <v>257</v>
      </c>
    </row>
    <row r="139" spans="1:2" ht="13">
      <c r="A139" s="41">
        <v>18</v>
      </c>
      <c r="B139" s="43" t="s">
        <v>258</v>
      </c>
    </row>
    <row r="140" spans="1:2" ht="13">
      <c r="A140" s="41">
        <v>19</v>
      </c>
      <c r="B140" s="43" t="s">
        <v>259</v>
      </c>
    </row>
    <row r="141" spans="1:2" ht="13">
      <c r="A141" s="41">
        <v>20</v>
      </c>
      <c r="B141" s="43" t="s">
        <v>260</v>
      </c>
    </row>
    <row r="142" spans="1:2" ht="13">
      <c r="A142" s="41">
        <v>21</v>
      </c>
      <c r="B142" s="43" t="s">
        <v>261</v>
      </c>
    </row>
    <row r="143" spans="1:2" ht="13">
      <c r="A143" s="41">
        <v>22</v>
      </c>
      <c r="B143" s="43" t="s">
        <v>237</v>
      </c>
    </row>
    <row r="144" spans="1:2" ht="13">
      <c r="A144" s="41">
        <v>23</v>
      </c>
      <c r="B144" s="42" t="s">
        <v>337</v>
      </c>
    </row>
    <row r="145" spans="1:2" ht="13">
      <c r="A145" s="41">
        <v>24</v>
      </c>
      <c r="B145" s="43" t="s">
        <v>263</v>
      </c>
    </row>
    <row r="146" spans="1:2" ht="13">
      <c r="A146" s="41">
        <v>25</v>
      </c>
      <c r="B146" s="43" t="s">
        <v>338</v>
      </c>
    </row>
    <row r="147" spans="1:2" ht="13">
      <c r="A147" s="41">
        <v>26</v>
      </c>
      <c r="B147" s="43" t="s">
        <v>339</v>
      </c>
    </row>
    <row r="148" spans="1:2" ht="13">
      <c r="A148" s="41">
        <v>27</v>
      </c>
      <c r="B148" s="43" t="s">
        <v>340</v>
      </c>
    </row>
    <row r="149" spans="1:2" ht="13">
      <c r="A149" s="41">
        <v>28</v>
      </c>
      <c r="B149" s="43" t="s">
        <v>341</v>
      </c>
    </row>
    <row r="150" spans="1:2" ht="13">
      <c r="A150" s="41">
        <v>29</v>
      </c>
      <c r="B150" s="43" t="s">
        <v>342</v>
      </c>
    </row>
    <row r="151" spans="1:2" ht="13">
      <c r="A151" s="41">
        <v>30</v>
      </c>
      <c r="B151" s="43" t="s">
        <v>286</v>
      </c>
    </row>
    <row r="152" spans="1:2" ht="13">
      <c r="A152" s="41">
        <v>31</v>
      </c>
      <c r="B152" s="43" t="s">
        <v>237</v>
      </c>
    </row>
    <row r="153" spans="1:2" ht="13">
      <c r="A153" s="41">
        <v>32</v>
      </c>
      <c r="B153" s="42" t="s">
        <v>343</v>
      </c>
    </row>
    <row r="154" spans="1:2" ht="13">
      <c r="A154" s="41">
        <v>33</v>
      </c>
      <c r="B154" s="43" t="s">
        <v>288</v>
      </c>
    </row>
    <row r="155" spans="1:2" ht="13">
      <c r="A155" s="41">
        <v>34</v>
      </c>
      <c r="B155" s="43" t="s">
        <v>289</v>
      </c>
    </row>
    <row r="156" spans="1:2" ht="13">
      <c r="A156" s="41">
        <v>35</v>
      </c>
      <c r="B156" s="43" t="s">
        <v>290</v>
      </c>
    </row>
    <row r="157" spans="1:2" ht="13">
      <c r="A157" s="41">
        <v>36</v>
      </c>
      <c r="B157" s="43" t="s">
        <v>291</v>
      </c>
    </row>
    <row r="158" spans="1:2" ht="13">
      <c r="A158" s="41">
        <v>37</v>
      </c>
      <c r="B158" s="43" t="s">
        <v>292</v>
      </c>
    </row>
    <row r="159" spans="1:2" ht="13">
      <c r="A159" s="41">
        <v>38</v>
      </c>
      <c r="B159" s="43" t="s">
        <v>293</v>
      </c>
    </row>
    <row r="160" spans="1:2" ht="13">
      <c r="A160" s="41">
        <v>39</v>
      </c>
      <c r="B160" s="43" t="s">
        <v>294</v>
      </c>
    </row>
    <row r="161" spans="1:2" ht="13">
      <c r="A161" s="41">
        <v>40</v>
      </c>
      <c r="B161" s="43" t="s">
        <v>237</v>
      </c>
    </row>
    <row r="162" spans="1:2" ht="13">
      <c r="A162" s="41">
        <v>41</v>
      </c>
      <c r="B162" s="42" t="s">
        <v>344</v>
      </c>
    </row>
    <row r="163" spans="1:2" ht="13">
      <c r="A163" s="41">
        <v>42</v>
      </c>
      <c r="B163" s="43" t="s">
        <v>296</v>
      </c>
    </row>
    <row r="164" spans="1:2" ht="13">
      <c r="A164" s="41">
        <v>43</v>
      </c>
      <c r="B164" s="43" t="s">
        <v>297</v>
      </c>
    </row>
    <row r="165" spans="1:2" ht="13">
      <c r="A165" s="41">
        <v>44</v>
      </c>
      <c r="B165" s="43" t="s">
        <v>298</v>
      </c>
    </row>
    <row r="166" spans="1:2" ht="13">
      <c r="A166" s="41">
        <v>45</v>
      </c>
      <c r="B166" s="43" t="s">
        <v>237</v>
      </c>
    </row>
    <row r="167" spans="1:2" ht="13">
      <c r="A167" s="41">
        <v>46</v>
      </c>
      <c r="B167" s="42" t="s">
        <v>345</v>
      </c>
    </row>
    <row r="168" spans="1:2" ht="13">
      <c r="A168" s="41">
        <v>47</v>
      </c>
      <c r="B168" s="43" t="s">
        <v>301</v>
      </c>
    </row>
    <row r="169" spans="1:2" ht="13">
      <c r="A169" s="41">
        <v>48</v>
      </c>
      <c r="B169" s="43" t="s">
        <v>302</v>
      </c>
    </row>
    <row r="170" spans="1:2" ht="13">
      <c r="A170" s="41">
        <v>49</v>
      </c>
      <c r="B170" s="43" t="s">
        <v>303</v>
      </c>
    </row>
    <row r="171" spans="1:2" ht="13">
      <c r="A171" s="41">
        <v>50</v>
      </c>
      <c r="B171" s="43" t="s">
        <v>304</v>
      </c>
    </row>
    <row r="172" spans="1:2" ht="13">
      <c r="A172" s="41">
        <v>51</v>
      </c>
      <c r="B172" s="43" t="s">
        <v>237</v>
      </c>
    </row>
    <row r="173" spans="1:2" ht="13">
      <c r="A173" s="41">
        <v>52</v>
      </c>
      <c r="B173" s="42" t="s">
        <v>309</v>
      </c>
    </row>
    <row r="174" spans="1:2" ht="13">
      <c r="A174" s="41">
        <v>53</v>
      </c>
      <c r="B174" s="43" t="s">
        <v>310</v>
      </c>
    </row>
    <row r="175" spans="1:2" ht="13">
      <c r="A175" s="41">
        <v>54</v>
      </c>
      <c r="B175" s="43" t="s">
        <v>311</v>
      </c>
    </row>
    <row r="176" spans="1:2" ht="13">
      <c r="A176" s="41">
        <v>55</v>
      </c>
      <c r="B176" s="43" t="s">
        <v>312</v>
      </c>
    </row>
    <row r="177" spans="1:2" ht="13">
      <c r="A177" s="41">
        <v>56</v>
      </c>
      <c r="B177" s="43" t="s">
        <v>313</v>
      </c>
    </row>
    <row r="178" spans="1:2" ht="13">
      <c r="A178" s="41">
        <v>57</v>
      </c>
      <c r="B178" s="43" t="s">
        <v>314</v>
      </c>
    </row>
    <row r="179" spans="1:2" ht="13">
      <c r="A179" s="41">
        <v>58</v>
      </c>
      <c r="B179" s="43" t="s">
        <v>315</v>
      </c>
    </row>
    <row r="180" spans="1:2" ht="13">
      <c r="A180" s="41">
        <v>59</v>
      </c>
      <c r="B180" s="43" t="s">
        <v>316</v>
      </c>
    </row>
    <row r="181" spans="1:2" ht="13">
      <c r="A181" s="41">
        <v>60</v>
      </c>
      <c r="B181" s="43" t="s">
        <v>237</v>
      </c>
    </row>
    <row r="182" spans="1:2" ht="13">
      <c r="A182" s="41">
        <v>61</v>
      </c>
      <c r="B182" s="42" t="s">
        <v>317</v>
      </c>
    </row>
    <row r="183" spans="1:2" ht="13">
      <c r="A183" s="41">
        <v>62</v>
      </c>
      <c r="B183" s="43" t="s">
        <v>318</v>
      </c>
    </row>
    <row r="184" spans="1:2" ht="13">
      <c r="A184" s="41">
        <v>63</v>
      </c>
      <c r="B184" s="43" t="s">
        <v>237</v>
      </c>
    </row>
    <row r="185" spans="1:2" ht="13">
      <c r="A185" s="41">
        <v>64</v>
      </c>
      <c r="B185" s="42" t="s">
        <v>346</v>
      </c>
    </row>
    <row r="186" spans="1:2" ht="13">
      <c r="A186" s="41">
        <v>65</v>
      </c>
      <c r="B186" s="43" t="s">
        <v>307</v>
      </c>
    </row>
    <row r="187" spans="1:2" ht="13">
      <c r="A187" s="41">
        <v>66</v>
      </c>
      <c r="B187" s="43" t="s">
        <v>308</v>
      </c>
    </row>
    <row r="188" spans="1:2" ht="13">
      <c r="A188" s="41">
        <v>67</v>
      </c>
      <c r="B188" s="43" t="s">
        <v>237</v>
      </c>
    </row>
    <row r="189" spans="1:2" ht="13">
      <c r="A189" s="41">
        <v>68</v>
      </c>
      <c r="B189" s="42" t="s">
        <v>319</v>
      </c>
    </row>
    <row r="190" spans="1:2" ht="13">
      <c r="A190" s="41">
        <v>69</v>
      </c>
      <c r="B190" s="43" t="s">
        <v>320</v>
      </c>
    </row>
    <row r="191" spans="1:2" ht="13">
      <c r="A191" s="41">
        <v>70</v>
      </c>
      <c r="B191" s="43" t="s">
        <v>315</v>
      </c>
    </row>
    <row r="192" spans="1:2" ht="13">
      <c r="A192" s="41">
        <v>71</v>
      </c>
      <c r="B192" s="43" t="s">
        <v>321</v>
      </c>
    </row>
    <row r="193" spans="1:2" ht="13">
      <c r="A193" s="41">
        <v>72</v>
      </c>
      <c r="B193" s="43" t="s">
        <v>322</v>
      </c>
    </row>
    <row r="194" spans="1:2" ht="13">
      <c r="A194" s="41">
        <v>73</v>
      </c>
      <c r="B194" s="43" t="s">
        <v>323</v>
      </c>
    </row>
  </sheetData>
  <mergeCells count="4">
    <mergeCell ref="A1:B1"/>
    <mergeCell ref="A2:B2"/>
    <mergeCell ref="A4:B4"/>
    <mergeCell ref="A121:B1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87"/>
  <sheetViews>
    <sheetView showGridLines="0" zoomScaleNormal="100" workbookViewId="0"/>
  </sheetViews>
  <sheetFormatPr defaultColWidth="8.6328125" defaultRowHeight="12.5"/>
  <cols>
    <col min="1" max="1" width="6" customWidth="1"/>
    <col min="2" max="2" width="130" customWidth="1"/>
  </cols>
  <sheetData>
    <row r="1" spans="1:2" ht="27.75" customHeight="1">
      <c r="A1" s="14" t="s">
        <v>347</v>
      </c>
      <c r="B1" s="14"/>
    </row>
    <row r="2" spans="1:2" ht="15" customHeight="1">
      <c r="A2" s="11" t="s">
        <v>348</v>
      </c>
      <c r="B2" s="11"/>
    </row>
    <row r="4" spans="1:2" ht="21.75" customHeight="1">
      <c r="A4" s="204" t="s">
        <v>349</v>
      </c>
      <c r="B4" s="204"/>
    </row>
    <row r="5" spans="1:2" ht="13">
      <c r="A5" s="41">
        <v>1</v>
      </c>
      <c r="B5" s="42" t="s">
        <v>231</v>
      </c>
    </row>
    <row r="6" spans="1:2" ht="13">
      <c r="A6" s="41">
        <v>2</v>
      </c>
      <c r="B6" s="42" t="s">
        <v>350</v>
      </c>
    </row>
    <row r="7" spans="1:2" ht="13">
      <c r="A7" s="41">
        <v>3</v>
      </c>
      <c r="B7" s="42" t="s">
        <v>231</v>
      </c>
    </row>
    <row r="8" spans="1:2" ht="13">
      <c r="A8" s="41">
        <v>4</v>
      </c>
      <c r="B8" s="43" t="s">
        <v>233</v>
      </c>
    </row>
    <row r="9" spans="1:2" ht="13">
      <c r="A9" s="41">
        <v>5</v>
      </c>
      <c r="B9" s="43" t="s">
        <v>234</v>
      </c>
    </row>
    <row r="10" spans="1:2" ht="13">
      <c r="A10" s="41">
        <v>6</v>
      </c>
      <c r="B10" s="43" t="s">
        <v>237</v>
      </c>
    </row>
    <row r="11" spans="1:2" ht="13">
      <c r="A11" s="41">
        <v>7</v>
      </c>
      <c r="B11" s="42" t="s">
        <v>351</v>
      </c>
    </row>
    <row r="12" spans="1:2" ht="13">
      <c r="A12" s="41">
        <v>8</v>
      </c>
      <c r="B12" s="43" t="s">
        <v>352</v>
      </c>
    </row>
    <row r="13" spans="1:2" ht="13">
      <c r="A13" s="41">
        <v>9</v>
      </c>
      <c r="B13" s="43" t="s">
        <v>353</v>
      </c>
    </row>
    <row r="14" spans="1:2" ht="13">
      <c r="A14" s="41">
        <v>10</v>
      </c>
      <c r="B14" s="43" t="s">
        <v>354</v>
      </c>
    </row>
    <row r="15" spans="1:2" ht="13">
      <c r="A15" s="41">
        <v>11</v>
      </c>
      <c r="B15" s="43" t="s">
        <v>237</v>
      </c>
    </row>
    <row r="16" spans="1:2" ht="13">
      <c r="A16" s="41">
        <v>12</v>
      </c>
      <c r="B16" s="43" t="s">
        <v>355</v>
      </c>
    </row>
    <row r="17" spans="1:2" ht="13">
      <c r="A17" s="41">
        <v>13</v>
      </c>
      <c r="B17" s="43" t="s">
        <v>356</v>
      </c>
    </row>
    <row r="18" spans="1:2" ht="13">
      <c r="A18" s="41">
        <v>14</v>
      </c>
      <c r="B18" s="43" t="s">
        <v>357</v>
      </c>
    </row>
    <row r="19" spans="1:2" ht="13">
      <c r="A19" s="41">
        <v>15</v>
      </c>
      <c r="B19" s="43" t="s">
        <v>358</v>
      </c>
    </row>
    <row r="20" spans="1:2" ht="13">
      <c r="A20" s="41">
        <v>16</v>
      </c>
      <c r="B20" s="43" t="s">
        <v>359</v>
      </c>
    </row>
    <row r="21" spans="1:2" ht="13">
      <c r="A21" s="41">
        <v>17</v>
      </c>
      <c r="B21" s="43" t="s">
        <v>360</v>
      </c>
    </row>
    <row r="22" spans="1:2" ht="13">
      <c r="A22" s="41">
        <v>18</v>
      </c>
      <c r="B22" s="43" t="s">
        <v>237</v>
      </c>
    </row>
    <row r="23" spans="1:2" ht="13">
      <c r="A23" s="41">
        <v>19</v>
      </c>
      <c r="B23" s="43" t="s">
        <v>361</v>
      </c>
    </row>
    <row r="24" spans="1:2" ht="13">
      <c r="A24" s="41">
        <v>20</v>
      </c>
      <c r="B24" s="43" t="s">
        <v>362</v>
      </c>
    </row>
    <row r="25" spans="1:2" ht="13">
      <c r="A25" s="41">
        <v>21</v>
      </c>
      <c r="B25" s="43" t="s">
        <v>363</v>
      </c>
    </row>
    <row r="26" spans="1:2" ht="13">
      <c r="A26" s="41">
        <v>22</v>
      </c>
      <c r="B26" s="43" t="s">
        <v>364</v>
      </c>
    </row>
    <row r="27" spans="1:2" ht="13">
      <c r="A27" s="41">
        <v>23</v>
      </c>
      <c r="B27" s="43" t="s">
        <v>365</v>
      </c>
    </row>
    <row r="28" spans="1:2" ht="13">
      <c r="A28" s="41">
        <v>24</v>
      </c>
      <c r="B28" s="43" t="s">
        <v>237</v>
      </c>
    </row>
    <row r="29" spans="1:2" ht="13">
      <c r="A29" s="41">
        <v>25</v>
      </c>
      <c r="B29" s="42" t="s">
        <v>366</v>
      </c>
    </row>
    <row r="30" spans="1:2" ht="13">
      <c r="A30" s="41">
        <v>26</v>
      </c>
      <c r="B30" s="43" t="s">
        <v>367</v>
      </c>
    </row>
    <row r="31" spans="1:2" ht="13">
      <c r="A31" s="41">
        <v>27</v>
      </c>
      <c r="B31" s="43" t="s">
        <v>237</v>
      </c>
    </row>
    <row r="32" spans="1:2" ht="13">
      <c r="A32" s="41">
        <v>28</v>
      </c>
      <c r="B32" s="42" t="s">
        <v>368</v>
      </c>
    </row>
    <row r="33" spans="1:2" ht="13">
      <c r="A33" s="41">
        <v>29</v>
      </c>
      <c r="B33" s="43" t="s">
        <v>369</v>
      </c>
    </row>
    <row r="34" spans="1:2" ht="13">
      <c r="A34" s="41">
        <v>30</v>
      </c>
      <c r="B34" s="43" t="s">
        <v>370</v>
      </c>
    </row>
    <row r="35" spans="1:2" ht="13">
      <c r="A35" s="41">
        <v>31</v>
      </c>
      <c r="B35" s="43" t="s">
        <v>371</v>
      </c>
    </row>
    <row r="36" spans="1:2" ht="13">
      <c r="A36" s="41">
        <v>32</v>
      </c>
      <c r="B36" s="43" t="s">
        <v>237</v>
      </c>
    </row>
    <row r="37" spans="1:2" ht="13">
      <c r="A37" s="41">
        <v>33</v>
      </c>
      <c r="B37" s="42" t="s">
        <v>372</v>
      </c>
    </row>
    <row r="38" spans="1:2" ht="13">
      <c r="A38" s="41">
        <v>34</v>
      </c>
      <c r="B38" s="43" t="s">
        <v>373</v>
      </c>
    </row>
    <row r="39" spans="1:2" ht="13">
      <c r="A39" s="41">
        <v>35</v>
      </c>
      <c r="B39" s="43" t="s">
        <v>374</v>
      </c>
    </row>
    <row r="40" spans="1:2" ht="13">
      <c r="A40" s="41">
        <v>36</v>
      </c>
      <c r="B40" s="43" t="s">
        <v>375</v>
      </c>
    </row>
    <row r="41" spans="1:2" ht="13">
      <c r="A41" s="41">
        <v>37</v>
      </c>
      <c r="B41" s="43" t="s">
        <v>376</v>
      </c>
    </row>
    <row r="42" spans="1:2" ht="13">
      <c r="A42" s="41">
        <v>38</v>
      </c>
      <c r="B42" s="43" t="s">
        <v>237</v>
      </c>
    </row>
    <row r="43" spans="1:2" ht="13">
      <c r="A43" s="41">
        <v>39</v>
      </c>
      <c r="B43" s="42" t="s">
        <v>309</v>
      </c>
    </row>
    <row r="44" spans="1:2" ht="13">
      <c r="A44" s="41">
        <v>40</v>
      </c>
      <c r="B44" s="43" t="s">
        <v>377</v>
      </c>
    </row>
    <row r="45" spans="1:2" ht="13">
      <c r="A45" s="41">
        <v>41</v>
      </c>
      <c r="B45" s="43" t="s">
        <v>378</v>
      </c>
    </row>
    <row r="46" spans="1:2" ht="13">
      <c r="A46" s="41">
        <v>42</v>
      </c>
      <c r="B46" s="43" t="s">
        <v>237</v>
      </c>
    </row>
    <row r="47" spans="1:2" ht="13">
      <c r="A47" s="41">
        <v>43</v>
      </c>
      <c r="B47" s="43" t="s">
        <v>379</v>
      </c>
    </row>
    <row r="48" spans="1:2" ht="13">
      <c r="A48" s="41">
        <v>44</v>
      </c>
      <c r="B48" s="43" t="s">
        <v>380</v>
      </c>
    </row>
    <row r="49" spans="1:2" ht="13">
      <c r="A49" s="41">
        <v>45</v>
      </c>
      <c r="B49" s="43" t="s">
        <v>381</v>
      </c>
    </row>
    <row r="50" spans="1:2" ht="13">
      <c r="A50" s="41">
        <v>46</v>
      </c>
      <c r="B50" s="43" t="s">
        <v>382</v>
      </c>
    </row>
    <row r="51" spans="1:2" ht="13">
      <c r="A51" s="41">
        <v>47</v>
      </c>
      <c r="B51" s="43" t="s">
        <v>383</v>
      </c>
    </row>
    <row r="52" spans="1:2" ht="13">
      <c r="A52" s="41">
        <v>48</v>
      </c>
      <c r="B52" s="43" t="s">
        <v>384</v>
      </c>
    </row>
    <row r="53" spans="1:2" ht="13">
      <c r="A53" s="41">
        <v>49</v>
      </c>
      <c r="B53" s="43" t="s">
        <v>385</v>
      </c>
    </row>
    <row r="54" spans="1:2" ht="13">
      <c r="A54" s="41">
        <v>50</v>
      </c>
      <c r="B54" s="43" t="s">
        <v>237</v>
      </c>
    </row>
    <row r="55" spans="1:2" ht="13">
      <c r="A55" s="41">
        <v>51</v>
      </c>
      <c r="B55" s="42" t="s">
        <v>386</v>
      </c>
    </row>
    <row r="56" spans="1:2" ht="13">
      <c r="A56" s="41">
        <v>52</v>
      </c>
      <c r="B56" s="43" t="s">
        <v>318</v>
      </c>
    </row>
    <row r="57" spans="1:2" ht="13">
      <c r="A57" s="41">
        <v>53</v>
      </c>
      <c r="B57" s="43" t="s">
        <v>237</v>
      </c>
    </row>
    <row r="58" spans="1:2" ht="13">
      <c r="A58" s="41">
        <v>54</v>
      </c>
      <c r="B58" s="42" t="s">
        <v>305</v>
      </c>
    </row>
    <row r="59" spans="1:2" ht="13">
      <c r="A59" s="41">
        <v>55</v>
      </c>
      <c r="B59" s="43" t="s">
        <v>307</v>
      </c>
    </row>
    <row r="60" spans="1:2" ht="13">
      <c r="A60" s="41">
        <v>56</v>
      </c>
      <c r="B60" s="43" t="s">
        <v>308</v>
      </c>
    </row>
    <row r="61" spans="1:2" ht="13">
      <c r="A61" s="41">
        <v>57</v>
      </c>
      <c r="B61" s="43" t="s">
        <v>237</v>
      </c>
    </row>
    <row r="62" spans="1:2" ht="13">
      <c r="A62" s="41">
        <v>58</v>
      </c>
      <c r="B62" s="43" t="s">
        <v>387</v>
      </c>
    </row>
    <row r="63" spans="1:2" ht="13">
      <c r="A63" s="41">
        <v>59</v>
      </c>
      <c r="B63" s="43" t="s">
        <v>388</v>
      </c>
    </row>
    <row r="64" spans="1:2" ht="13">
      <c r="A64" s="41">
        <v>60</v>
      </c>
      <c r="B64" s="43" t="s">
        <v>389</v>
      </c>
    </row>
    <row r="65" spans="1:2" ht="13">
      <c r="A65" s="41">
        <v>61</v>
      </c>
      <c r="B65" s="43" t="s">
        <v>390</v>
      </c>
    </row>
    <row r="66" spans="1:2" ht="13">
      <c r="A66" s="41">
        <v>62</v>
      </c>
      <c r="B66" s="43" t="s">
        <v>391</v>
      </c>
    </row>
    <row r="67" spans="1:2" ht="13">
      <c r="A67" s="41">
        <v>63</v>
      </c>
      <c r="B67" s="43" t="s">
        <v>392</v>
      </c>
    </row>
    <row r="68" spans="1:2" ht="13">
      <c r="A68" s="41">
        <v>64</v>
      </c>
      <c r="B68" s="43" t="s">
        <v>393</v>
      </c>
    </row>
    <row r="69" spans="1:2" ht="13">
      <c r="A69" s="41">
        <v>65</v>
      </c>
      <c r="B69" s="43" t="s">
        <v>394</v>
      </c>
    </row>
    <row r="70" spans="1:2" ht="13">
      <c r="A70" s="41">
        <v>66</v>
      </c>
      <c r="B70" s="43" t="s">
        <v>395</v>
      </c>
    </row>
    <row r="71" spans="1:2" ht="13">
      <c r="A71" s="41">
        <v>67</v>
      </c>
      <c r="B71" s="43" t="s">
        <v>396</v>
      </c>
    </row>
    <row r="72" spans="1:2" ht="13">
      <c r="A72" s="41">
        <v>68</v>
      </c>
      <c r="B72" s="43" t="s">
        <v>397</v>
      </c>
    </row>
    <row r="73" spans="1:2" ht="13">
      <c r="A73" s="41">
        <v>69</v>
      </c>
      <c r="B73" s="43" t="s">
        <v>398</v>
      </c>
    </row>
    <row r="75" spans="1:2" ht="21.75" customHeight="1">
      <c r="A75" s="204" t="s">
        <v>399</v>
      </c>
      <c r="B75" s="204"/>
    </row>
    <row r="76" spans="1:2" ht="13">
      <c r="A76" s="41">
        <v>1</v>
      </c>
      <c r="B76" s="42" t="s">
        <v>231</v>
      </c>
    </row>
    <row r="77" spans="1:2" ht="13">
      <c r="A77" s="41">
        <v>2</v>
      </c>
      <c r="B77" s="42" t="s">
        <v>400</v>
      </c>
    </row>
    <row r="78" spans="1:2" ht="13">
      <c r="A78" s="41">
        <v>3</v>
      </c>
      <c r="B78" s="42" t="s">
        <v>231</v>
      </c>
    </row>
    <row r="79" spans="1:2" ht="13">
      <c r="A79" s="41">
        <v>4</v>
      </c>
      <c r="B79" s="43" t="s">
        <v>233</v>
      </c>
    </row>
    <row r="80" spans="1:2" ht="13">
      <c r="A80" s="41">
        <v>5</v>
      </c>
      <c r="B80" s="43" t="s">
        <v>234</v>
      </c>
    </row>
    <row r="81" spans="1:2" ht="13">
      <c r="A81" s="41">
        <v>6</v>
      </c>
      <c r="B81" s="43" t="s">
        <v>237</v>
      </c>
    </row>
    <row r="82" spans="1:2" ht="13">
      <c r="A82" s="41">
        <v>7</v>
      </c>
      <c r="B82" s="42" t="s">
        <v>351</v>
      </c>
    </row>
    <row r="83" spans="1:2" ht="13">
      <c r="A83" s="41">
        <v>8</v>
      </c>
      <c r="B83" s="43" t="s">
        <v>401</v>
      </c>
    </row>
    <row r="84" spans="1:2" ht="13">
      <c r="A84" s="41">
        <v>9</v>
      </c>
      <c r="B84" s="43" t="s">
        <v>402</v>
      </c>
    </row>
    <row r="85" spans="1:2" ht="13">
      <c r="A85" s="41">
        <v>10</v>
      </c>
      <c r="B85" s="43" t="s">
        <v>403</v>
      </c>
    </row>
    <row r="86" spans="1:2" ht="13">
      <c r="A86" s="41">
        <v>11</v>
      </c>
      <c r="B86" s="43" t="s">
        <v>237</v>
      </c>
    </row>
    <row r="87" spans="1:2" ht="13">
      <c r="A87" s="41">
        <v>12</v>
      </c>
      <c r="B87" s="43" t="s">
        <v>355</v>
      </c>
    </row>
    <row r="88" spans="1:2" ht="13">
      <c r="A88" s="41">
        <v>13</v>
      </c>
      <c r="B88" s="43" t="s">
        <v>404</v>
      </c>
    </row>
    <row r="89" spans="1:2" ht="13">
      <c r="A89" s="41">
        <v>14</v>
      </c>
      <c r="B89" s="43" t="s">
        <v>405</v>
      </c>
    </row>
    <row r="90" spans="1:2" ht="13">
      <c r="A90" s="41">
        <v>15</v>
      </c>
      <c r="B90" s="43" t="s">
        <v>406</v>
      </c>
    </row>
    <row r="91" spans="1:2" ht="13">
      <c r="A91" s="41">
        <v>16</v>
      </c>
      <c r="B91" s="43" t="s">
        <v>360</v>
      </c>
    </row>
    <row r="92" spans="1:2" ht="13">
      <c r="A92" s="41">
        <v>17</v>
      </c>
      <c r="B92" s="43" t="s">
        <v>237</v>
      </c>
    </row>
    <row r="93" spans="1:2" ht="13">
      <c r="A93" s="41">
        <v>18</v>
      </c>
      <c r="B93" s="43" t="s">
        <v>407</v>
      </c>
    </row>
    <row r="94" spans="1:2" ht="13">
      <c r="A94" s="41">
        <v>19</v>
      </c>
      <c r="B94" s="43" t="s">
        <v>408</v>
      </c>
    </row>
    <row r="95" spans="1:2" ht="13">
      <c r="A95" s="41">
        <v>20</v>
      </c>
      <c r="B95" s="43" t="s">
        <v>409</v>
      </c>
    </row>
    <row r="96" spans="1:2" ht="13">
      <c r="A96" s="41">
        <v>21</v>
      </c>
      <c r="B96" s="43" t="s">
        <v>410</v>
      </c>
    </row>
    <row r="97" spans="1:2" ht="13">
      <c r="A97" s="41">
        <v>22</v>
      </c>
      <c r="B97" s="43" t="s">
        <v>411</v>
      </c>
    </row>
    <row r="98" spans="1:2" ht="13">
      <c r="A98" s="41">
        <v>23</v>
      </c>
      <c r="B98" s="43" t="s">
        <v>237</v>
      </c>
    </row>
    <row r="99" spans="1:2" ht="13">
      <c r="A99" s="41">
        <v>24</v>
      </c>
      <c r="B99" s="42" t="s">
        <v>366</v>
      </c>
    </row>
    <row r="100" spans="1:2" ht="13">
      <c r="A100" s="41">
        <v>25</v>
      </c>
      <c r="B100" s="43" t="s">
        <v>367</v>
      </c>
    </row>
    <row r="101" spans="1:2" ht="13">
      <c r="A101" s="41">
        <v>26</v>
      </c>
      <c r="B101" s="43" t="s">
        <v>237</v>
      </c>
    </row>
    <row r="102" spans="1:2" ht="13">
      <c r="A102" s="41">
        <v>27</v>
      </c>
      <c r="B102" s="42" t="s">
        <v>368</v>
      </c>
    </row>
    <row r="103" spans="1:2" ht="13">
      <c r="A103" s="41">
        <v>28</v>
      </c>
      <c r="B103" s="43" t="s">
        <v>369</v>
      </c>
    </row>
    <row r="104" spans="1:2" ht="13">
      <c r="A104" s="41">
        <v>29</v>
      </c>
      <c r="B104" s="43" t="s">
        <v>370</v>
      </c>
    </row>
    <row r="105" spans="1:2" ht="13">
      <c r="A105" s="41">
        <v>30</v>
      </c>
      <c r="B105" s="43" t="s">
        <v>371</v>
      </c>
    </row>
    <row r="106" spans="1:2" ht="13">
      <c r="A106" s="41">
        <v>31</v>
      </c>
      <c r="B106" s="43" t="s">
        <v>237</v>
      </c>
    </row>
    <row r="107" spans="1:2" ht="13">
      <c r="A107" s="41">
        <v>32</v>
      </c>
      <c r="B107" s="42" t="s">
        <v>372</v>
      </c>
    </row>
    <row r="108" spans="1:2" ht="13">
      <c r="A108" s="41">
        <v>33</v>
      </c>
      <c r="B108" s="43" t="s">
        <v>373</v>
      </c>
    </row>
    <row r="109" spans="1:2" ht="13">
      <c r="A109" s="41">
        <v>34</v>
      </c>
      <c r="B109" s="43" t="s">
        <v>374</v>
      </c>
    </row>
    <row r="110" spans="1:2" ht="13">
      <c r="A110" s="41">
        <v>35</v>
      </c>
      <c r="B110" s="43" t="s">
        <v>375</v>
      </c>
    </row>
    <row r="111" spans="1:2" ht="13">
      <c r="A111" s="41">
        <v>36</v>
      </c>
      <c r="B111" s="43" t="s">
        <v>376</v>
      </c>
    </row>
    <row r="112" spans="1:2" ht="13">
      <c r="A112" s="41">
        <v>37</v>
      </c>
      <c r="B112" s="43" t="s">
        <v>237</v>
      </c>
    </row>
    <row r="113" spans="1:2" ht="13">
      <c r="A113" s="41">
        <v>38</v>
      </c>
      <c r="B113" s="42" t="s">
        <v>309</v>
      </c>
    </row>
    <row r="114" spans="1:2" ht="13">
      <c r="A114" s="41">
        <v>39</v>
      </c>
      <c r="B114" s="43" t="s">
        <v>377</v>
      </c>
    </row>
    <row r="115" spans="1:2" ht="13">
      <c r="A115" s="41">
        <v>40</v>
      </c>
      <c r="B115" s="43" t="s">
        <v>378</v>
      </c>
    </row>
    <row r="116" spans="1:2" ht="13">
      <c r="A116" s="41">
        <v>41</v>
      </c>
      <c r="B116" s="43" t="s">
        <v>237</v>
      </c>
    </row>
    <row r="117" spans="1:2" ht="13">
      <c r="A117" s="41">
        <v>42</v>
      </c>
      <c r="B117" s="43" t="s">
        <v>379</v>
      </c>
    </row>
    <row r="118" spans="1:2" ht="13">
      <c r="A118" s="41">
        <v>43</v>
      </c>
      <c r="B118" s="43" t="s">
        <v>380</v>
      </c>
    </row>
    <row r="119" spans="1:2" ht="13">
      <c r="A119" s="41">
        <v>44</v>
      </c>
      <c r="B119" s="43" t="s">
        <v>381</v>
      </c>
    </row>
    <row r="120" spans="1:2" ht="13">
      <c r="A120" s="41">
        <v>45</v>
      </c>
      <c r="B120" s="43" t="s">
        <v>412</v>
      </c>
    </row>
    <row r="121" spans="1:2" ht="13">
      <c r="A121" s="41">
        <v>46</v>
      </c>
      <c r="B121" s="43" t="s">
        <v>383</v>
      </c>
    </row>
    <row r="122" spans="1:2" ht="13">
      <c r="A122" s="41">
        <v>47</v>
      </c>
      <c r="B122" s="43" t="s">
        <v>384</v>
      </c>
    </row>
    <row r="123" spans="1:2" ht="13">
      <c r="A123" s="41">
        <v>48</v>
      </c>
      <c r="B123" s="43" t="s">
        <v>385</v>
      </c>
    </row>
    <row r="124" spans="1:2" ht="13">
      <c r="A124" s="41">
        <v>49</v>
      </c>
      <c r="B124" s="43" t="s">
        <v>237</v>
      </c>
    </row>
    <row r="125" spans="1:2" ht="13">
      <c r="A125" s="41">
        <v>50</v>
      </c>
      <c r="B125" s="42" t="s">
        <v>386</v>
      </c>
    </row>
    <row r="126" spans="1:2" ht="13">
      <c r="A126" s="41">
        <v>51</v>
      </c>
      <c r="B126" s="43" t="s">
        <v>318</v>
      </c>
    </row>
    <row r="127" spans="1:2" ht="13">
      <c r="A127" s="41">
        <v>52</v>
      </c>
      <c r="B127" s="43" t="s">
        <v>237</v>
      </c>
    </row>
    <row r="128" spans="1:2" ht="13">
      <c r="A128" s="41">
        <v>53</v>
      </c>
      <c r="B128" s="42" t="s">
        <v>305</v>
      </c>
    </row>
    <row r="129" spans="1:2" ht="13">
      <c r="A129" s="41">
        <v>54</v>
      </c>
      <c r="B129" s="43" t="s">
        <v>307</v>
      </c>
    </row>
    <row r="130" spans="1:2" ht="13">
      <c r="A130" s="41">
        <v>55</v>
      </c>
      <c r="B130" s="43" t="s">
        <v>308</v>
      </c>
    </row>
    <row r="131" spans="1:2" ht="13">
      <c r="A131" s="41">
        <v>56</v>
      </c>
      <c r="B131" s="43" t="s">
        <v>237</v>
      </c>
    </row>
    <row r="132" spans="1:2" ht="13">
      <c r="A132" s="41">
        <v>57</v>
      </c>
      <c r="B132" s="43" t="s">
        <v>387</v>
      </c>
    </row>
    <row r="133" spans="1:2" ht="13">
      <c r="A133" s="41">
        <v>58</v>
      </c>
      <c r="B133" s="43" t="s">
        <v>388</v>
      </c>
    </row>
    <row r="134" spans="1:2" ht="13">
      <c r="A134" s="41">
        <v>59</v>
      </c>
      <c r="B134" s="43" t="s">
        <v>389</v>
      </c>
    </row>
    <row r="135" spans="1:2" ht="13">
      <c r="A135" s="41">
        <v>60</v>
      </c>
      <c r="B135" s="43" t="s">
        <v>390</v>
      </c>
    </row>
    <row r="136" spans="1:2" ht="13">
      <c r="A136" s="41">
        <v>61</v>
      </c>
      <c r="B136" s="43" t="s">
        <v>391</v>
      </c>
    </row>
    <row r="137" spans="1:2" ht="13">
      <c r="A137" s="41">
        <v>62</v>
      </c>
      <c r="B137" s="43" t="s">
        <v>392</v>
      </c>
    </row>
    <row r="138" spans="1:2" ht="13">
      <c r="A138" s="41">
        <v>63</v>
      </c>
      <c r="B138" s="43" t="s">
        <v>393</v>
      </c>
    </row>
    <row r="139" spans="1:2" ht="13">
      <c r="A139" s="41">
        <v>64</v>
      </c>
      <c r="B139" s="43" t="s">
        <v>394</v>
      </c>
    </row>
    <row r="140" spans="1:2" ht="13">
      <c r="A140" s="41">
        <v>65</v>
      </c>
      <c r="B140" s="43" t="s">
        <v>395</v>
      </c>
    </row>
    <row r="141" spans="1:2" ht="13">
      <c r="A141" s="41">
        <v>66</v>
      </c>
      <c r="B141" s="43" t="s">
        <v>396</v>
      </c>
    </row>
    <row r="142" spans="1:2" ht="13">
      <c r="A142" s="41">
        <v>67</v>
      </c>
      <c r="B142" s="43" t="s">
        <v>397</v>
      </c>
    </row>
    <row r="143" spans="1:2" ht="13">
      <c r="A143" s="41">
        <v>68</v>
      </c>
      <c r="B143" s="43" t="s">
        <v>398</v>
      </c>
    </row>
    <row r="145" spans="1:2" ht="21.75" customHeight="1">
      <c r="A145" s="204" t="s">
        <v>413</v>
      </c>
      <c r="B145" s="204"/>
    </row>
    <row r="146" spans="1:2" ht="13">
      <c r="A146" s="41">
        <v>1</v>
      </c>
      <c r="B146" s="42" t="s">
        <v>231</v>
      </c>
    </row>
    <row r="147" spans="1:2" ht="13">
      <c r="A147" s="41">
        <v>2</v>
      </c>
      <c r="B147" s="42" t="s">
        <v>414</v>
      </c>
    </row>
    <row r="148" spans="1:2" ht="13">
      <c r="A148" s="41">
        <v>3</v>
      </c>
      <c r="B148" s="42" t="s">
        <v>231</v>
      </c>
    </row>
    <row r="149" spans="1:2" ht="13">
      <c r="A149" s="41">
        <v>4</v>
      </c>
      <c r="B149" s="43" t="s">
        <v>233</v>
      </c>
    </row>
    <row r="150" spans="1:2" ht="13">
      <c r="A150" s="41">
        <v>5</v>
      </c>
      <c r="B150" s="43" t="s">
        <v>234</v>
      </c>
    </row>
    <row r="151" spans="1:2" ht="13">
      <c r="A151" s="41">
        <v>6</v>
      </c>
      <c r="B151" s="43" t="s">
        <v>237</v>
      </c>
    </row>
    <row r="152" spans="1:2" ht="13">
      <c r="A152" s="41">
        <v>7</v>
      </c>
      <c r="B152" s="42" t="s">
        <v>351</v>
      </c>
    </row>
    <row r="153" spans="1:2" ht="13">
      <c r="A153" s="41">
        <v>8</v>
      </c>
      <c r="B153" s="43" t="s">
        <v>352</v>
      </c>
    </row>
    <row r="154" spans="1:2" ht="13">
      <c r="A154" s="41">
        <v>9</v>
      </c>
      <c r="B154" s="43" t="s">
        <v>415</v>
      </c>
    </row>
    <row r="155" spans="1:2" ht="13">
      <c r="A155" s="41">
        <v>10</v>
      </c>
      <c r="B155" s="43" t="s">
        <v>416</v>
      </c>
    </row>
    <row r="156" spans="1:2" ht="13">
      <c r="A156" s="41">
        <v>11</v>
      </c>
      <c r="B156" s="43" t="s">
        <v>237</v>
      </c>
    </row>
    <row r="157" spans="1:2" ht="13">
      <c r="A157" s="41">
        <v>12</v>
      </c>
      <c r="B157" s="43" t="s">
        <v>355</v>
      </c>
    </row>
    <row r="158" spans="1:2" ht="13">
      <c r="A158" s="41">
        <v>13</v>
      </c>
      <c r="B158" s="43" t="s">
        <v>417</v>
      </c>
    </row>
    <row r="159" spans="1:2" ht="13">
      <c r="A159" s="41">
        <v>14</v>
      </c>
      <c r="B159" s="43" t="s">
        <v>418</v>
      </c>
    </row>
    <row r="160" spans="1:2" ht="13">
      <c r="A160" s="41">
        <v>15</v>
      </c>
      <c r="B160" s="43" t="s">
        <v>419</v>
      </c>
    </row>
    <row r="161" spans="1:2" ht="13">
      <c r="A161" s="41">
        <v>16</v>
      </c>
      <c r="B161" s="43" t="s">
        <v>420</v>
      </c>
    </row>
    <row r="162" spans="1:2" ht="13">
      <c r="A162" s="41">
        <v>17</v>
      </c>
      <c r="B162" s="43" t="s">
        <v>360</v>
      </c>
    </row>
    <row r="163" spans="1:2" ht="13">
      <c r="A163" s="41">
        <v>18</v>
      </c>
      <c r="B163" s="43" t="s">
        <v>237</v>
      </c>
    </row>
    <row r="164" spans="1:2" ht="13">
      <c r="A164" s="41">
        <v>19</v>
      </c>
      <c r="B164" s="43" t="s">
        <v>361</v>
      </c>
    </row>
    <row r="165" spans="1:2" ht="13">
      <c r="A165" s="41">
        <v>20</v>
      </c>
      <c r="B165" s="43" t="s">
        <v>362</v>
      </c>
    </row>
    <row r="166" spans="1:2" ht="13">
      <c r="A166" s="41">
        <v>21</v>
      </c>
      <c r="B166" s="43" t="s">
        <v>421</v>
      </c>
    </row>
    <row r="167" spans="1:2" ht="13">
      <c r="A167" s="41">
        <v>22</v>
      </c>
      <c r="B167" s="43" t="s">
        <v>364</v>
      </c>
    </row>
    <row r="168" spans="1:2" ht="13">
      <c r="A168" s="41">
        <v>23</v>
      </c>
      <c r="B168" s="43" t="s">
        <v>422</v>
      </c>
    </row>
    <row r="169" spans="1:2" ht="13">
      <c r="A169" s="41">
        <v>24</v>
      </c>
      <c r="B169" s="43" t="s">
        <v>237</v>
      </c>
    </row>
    <row r="170" spans="1:2" ht="13">
      <c r="A170" s="41">
        <v>25</v>
      </c>
      <c r="B170" s="42" t="s">
        <v>366</v>
      </c>
    </row>
    <row r="171" spans="1:2" ht="13">
      <c r="A171" s="41">
        <v>26</v>
      </c>
      <c r="B171" s="43" t="s">
        <v>367</v>
      </c>
    </row>
    <row r="172" spans="1:2" ht="13">
      <c r="A172" s="41">
        <v>27</v>
      </c>
      <c r="B172" s="43" t="s">
        <v>237</v>
      </c>
    </row>
    <row r="173" spans="1:2" ht="13">
      <c r="A173" s="41">
        <v>28</v>
      </c>
      <c r="B173" s="42" t="s">
        <v>368</v>
      </c>
    </row>
    <row r="174" spans="1:2" ht="13">
      <c r="A174" s="41">
        <v>29</v>
      </c>
      <c r="B174" s="43" t="s">
        <v>369</v>
      </c>
    </row>
    <row r="175" spans="1:2" ht="13">
      <c r="A175" s="41">
        <v>30</v>
      </c>
      <c r="B175" s="43" t="s">
        <v>370</v>
      </c>
    </row>
    <row r="176" spans="1:2" ht="13">
      <c r="A176" s="41">
        <v>31</v>
      </c>
      <c r="B176" s="43" t="s">
        <v>371</v>
      </c>
    </row>
    <row r="177" spans="1:2" ht="13">
      <c r="A177" s="41">
        <v>32</v>
      </c>
      <c r="B177" s="43" t="s">
        <v>237</v>
      </c>
    </row>
    <row r="178" spans="1:2" ht="13">
      <c r="A178" s="41">
        <v>33</v>
      </c>
      <c r="B178" s="42" t="s">
        <v>372</v>
      </c>
    </row>
    <row r="179" spans="1:2" ht="13">
      <c r="A179" s="41">
        <v>34</v>
      </c>
      <c r="B179" s="43" t="s">
        <v>373</v>
      </c>
    </row>
    <row r="180" spans="1:2" ht="13">
      <c r="A180" s="41">
        <v>35</v>
      </c>
      <c r="B180" s="43" t="s">
        <v>374</v>
      </c>
    </row>
    <row r="181" spans="1:2" ht="13">
      <c r="A181" s="41">
        <v>36</v>
      </c>
      <c r="B181" s="43" t="s">
        <v>375</v>
      </c>
    </row>
    <row r="182" spans="1:2" ht="13">
      <c r="A182" s="41">
        <v>37</v>
      </c>
      <c r="B182" s="43" t="s">
        <v>376</v>
      </c>
    </row>
    <row r="183" spans="1:2" ht="13">
      <c r="A183" s="41">
        <v>38</v>
      </c>
      <c r="B183" s="43" t="s">
        <v>237</v>
      </c>
    </row>
    <row r="184" spans="1:2" ht="13">
      <c r="A184" s="41">
        <v>39</v>
      </c>
      <c r="B184" s="42" t="s">
        <v>309</v>
      </c>
    </row>
    <row r="185" spans="1:2" ht="13">
      <c r="A185" s="41">
        <v>40</v>
      </c>
      <c r="B185" s="43" t="s">
        <v>377</v>
      </c>
    </row>
    <row r="186" spans="1:2" ht="13">
      <c r="A186" s="41">
        <v>41</v>
      </c>
      <c r="B186" s="43" t="s">
        <v>378</v>
      </c>
    </row>
    <row r="187" spans="1:2" ht="13">
      <c r="A187" s="41">
        <v>42</v>
      </c>
      <c r="B187" s="43" t="s">
        <v>237</v>
      </c>
    </row>
    <row r="188" spans="1:2" ht="13">
      <c r="A188" s="41">
        <v>43</v>
      </c>
      <c r="B188" s="43" t="s">
        <v>379</v>
      </c>
    </row>
    <row r="189" spans="1:2" ht="13">
      <c r="A189" s="41">
        <v>44</v>
      </c>
      <c r="B189" s="43" t="s">
        <v>380</v>
      </c>
    </row>
    <row r="190" spans="1:2" ht="13">
      <c r="A190" s="41">
        <v>45</v>
      </c>
      <c r="B190" s="43" t="s">
        <v>381</v>
      </c>
    </row>
    <row r="191" spans="1:2" ht="13">
      <c r="A191" s="41">
        <v>46</v>
      </c>
      <c r="B191" s="43" t="s">
        <v>423</v>
      </c>
    </row>
    <row r="192" spans="1:2" ht="13">
      <c r="A192" s="41">
        <v>47</v>
      </c>
      <c r="B192" s="43" t="s">
        <v>383</v>
      </c>
    </row>
    <row r="193" spans="1:2" ht="13">
      <c r="A193" s="41">
        <v>48</v>
      </c>
      <c r="B193" s="43" t="s">
        <v>384</v>
      </c>
    </row>
    <row r="194" spans="1:2" ht="13">
      <c r="A194" s="41">
        <v>49</v>
      </c>
      <c r="B194" s="43" t="s">
        <v>385</v>
      </c>
    </row>
    <row r="195" spans="1:2" ht="13">
      <c r="A195" s="41">
        <v>50</v>
      </c>
      <c r="B195" s="43" t="s">
        <v>237</v>
      </c>
    </row>
    <row r="196" spans="1:2" ht="13">
      <c r="A196" s="41">
        <v>51</v>
      </c>
      <c r="B196" s="42" t="s">
        <v>386</v>
      </c>
    </row>
    <row r="197" spans="1:2" ht="13">
      <c r="A197" s="41">
        <v>52</v>
      </c>
      <c r="B197" s="43" t="s">
        <v>318</v>
      </c>
    </row>
    <row r="198" spans="1:2" ht="13">
      <c r="A198" s="41">
        <v>53</v>
      </c>
      <c r="B198" s="43" t="s">
        <v>237</v>
      </c>
    </row>
    <row r="199" spans="1:2" ht="13">
      <c r="A199" s="41">
        <v>54</v>
      </c>
      <c r="B199" s="42" t="s">
        <v>305</v>
      </c>
    </row>
    <row r="200" spans="1:2" ht="13">
      <c r="A200" s="41">
        <v>55</v>
      </c>
      <c r="B200" s="43" t="s">
        <v>307</v>
      </c>
    </row>
    <row r="201" spans="1:2" ht="13">
      <c r="A201" s="41">
        <v>56</v>
      </c>
      <c r="B201" s="43" t="s">
        <v>308</v>
      </c>
    </row>
    <row r="202" spans="1:2" ht="13">
      <c r="A202" s="41">
        <v>57</v>
      </c>
      <c r="B202" s="43" t="s">
        <v>237</v>
      </c>
    </row>
    <row r="203" spans="1:2" ht="13">
      <c r="A203" s="41">
        <v>58</v>
      </c>
      <c r="B203" s="43" t="s">
        <v>387</v>
      </c>
    </row>
    <row r="204" spans="1:2" ht="13">
      <c r="A204" s="41">
        <v>59</v>
      </c>
      <c r="B204" s="43" t="s">
        <v>388</v>
      </c>
    </row>
    <row r="205" spans="1:2" ht="13">
      <c r="A205" s="41">
        <v>60</v>
      </c>
      <c r="B205" s="43" t="s">
        <v>389</v>
      </c>
    </row>
    <row r="206" spans="1:2" ht="13">
      <c r="A206" s="41">
        <v>61</v>
      </c>
      <c r="B206" s="43" t="s">
        <v>390</v>
      </c>
    </row>
    <row r="207" spans="1:2" ht="13">
      <c r="A207" s="41">
        <v>62</v>
      </c>
      <c r="B207" s="43" t="s">
        <v>391</v>
      </c>
    </row>
    <row r="208" spans="1:2" ht="13">
      <c r="A208" s="41">
        <v>63</v>
      </c>
      <c r="B208" s="43" t="s">
        <v>392</v>
      </c>
    </row>
    <row r="209" spans="1:2" ht="13">
      <c r="A209" s="41">
        <v>64</v>
      </c>
      <c r="B209" s="43" t="s">
        <v>393</v>
      </c>
    </row>
    <row r="210" spans="1:2" ht="13">
      <c r="A210" s="41">
        <v>65</v>
      </c>
      <c r="B210" s="43" t="s">
        <v>394</v>
      </c>
    </row>
    <row r="211" spans="1:2" ht="13">
      <c r="A211" s="41">
        <v>66</v>
      </c>
      <c r="B211" s="43" t="s">
        <v>395</v>
      </c>
    </row>
    <row r="212" spans="1:2" ht="13">
      <c r="A212" s="41">
        <v>67</v>
      </c>
      <c r="B212" s="43" t="s">
        <v>396</v>
      </c>
    </row>
    <row r="213" spans="1:2" ht="13">
      <c r="A213" s="41">
        <v>68</v>
      </c>
      <c r="B213" s="43" t="s">
        <v>397</v>
      </c>
    </row>
    <row r="214" spans="1:2" ht="13">
      <c r="A214" s="41">
        <v>69</v>
      </c>
      <c r="B214" s="43" t="s">
        <v>398</v>
      </c>
    </row>
    <row r="216" spans="1:2" ht="21.75" customHeight="1">
      <c r="A216" s="204" t="s">
        <v>424</v>
      </c>
      <c r="B216" s="204"/>
    </row>
    <row r="217" spans="1:2" ht="13">
      <c r="A217" s="41">
        <v>1</v>
      </c>
      <c r="B217" s="42" t="s">
        <v>231</v>
      </c>
    </row>
    <row r="218" spans="1:2" ht="13">
      <c r="A218" s="41">
        <v>2</v>
      </c>
      <c r="B218" s="42" t="s">
        <v>425</v>
      </c>
    </row>
    <row r="219" spans="1:2" ht="13">
      <c r="A219" s="41">
        <v>3</v>
      </c>
      <c r="B219" s="42" t="s">
        <v>231</v>
      </c>
    </row>
    <row r="220" spans="1:2" ht="13">
      <c r="A220" s="41">
        <v>4</v>
      </c>
      <c r="B220" s="43" t="s">
        <v>233</v>
      </c>
    </row>
    <row r="221" spans="1:2" ht="13">
      <c r="A221" s="41">
        <v>5</v>
      </c>
      <c r="B221" s="43" t="s">
        <v>234</v>
      </c>
    </row>
    <row r="222" spans="1:2" ht="13">
      <c r="A222" s="41">
        <v>6</v>
      </c>
      <c r="B222" s="43" t="s">
        <v>237</v>
      </c>
    </row>
    <row r="223" spans="1:2" ht="13">
      <c r="A223" s="41">
        <v>7</v>
      </c>
      <c r="B223" s="42" t="s">
        <v>351</v>
      </c>
    </row>
    <row r="224" spans="1:2" ht="13">
      <c r="A224" s="41">
        <v>8</v>
      </c>
      <c r="B224" s="43" t="s">
        <v>352</v>
      </c>
    </row>
    <row r="225" spans="1:2" ht="13">
      <c r="A225" s="41">
        <v>9</v>
      </c>
      <c r="B225" s="43" t="s">
        <v>426</v>
      </c>
    </row>
    <row r="226" spans="1:2" ht="13">
      <c r="A226" s="41">
        <v>10</v>
      </c>
      <c r="B226" s="43" t="s">
        <v>427</v>
      </c>
    </row>
    <row r="227" spans="1:2" ht="13">
      <c r="A227" s="41">
        <v>11</v>
      </c>
      <c r="B227" s="43" t="s">
        <v>237</v>
      </c>
    </row>
    <row r="228" spans="1:2" ht="13">
      <c r="A228" s="41">
        <v>12</v>
      </c>
      <c r="B228" s="43" t="s">
        <v>355</v>
      </c>
    </row>
    <row r="229" spans="1:2" ht="13">
      <c r="A229" s="41">
        <v>13</v>
      </c>
      <c r="B229" s="43" t="s">
        <v>428</v>
      </c>
    </row>
    <row r="230" spans="1:2" ht="13">
      <c r="A230" s="41">
        <v>14</v>
      </c>
      <c r="B230" s="43" t="s">
        <v>429</v>
      </c>
    </row>
    <row r="231" spans="1:2" ht="13">
      <c r="A231" s="41">
        <v>15</v>
      </c>
      <c r="B231" s="43" t="s">
        <v>430</v>
      </c>
    </row>
    <row r="232" spans="1:2" ht="13">
      <c r="A232" s="41">
        <v>16</v>
      </c>
      <c r="B232" s="43" t="s">
        <v>431</v>
      </c>
    </row>
    <row r="233" spans="1:2" ht="13">
      <c r="A233" s="41">
        <v>17</v>
      </c>
      <c r="B233" s="43" t="s">
        <v>360</v>
      </c>
    </row>
    <row r="234" spans="1:2" ht="13">
      <c r="A234" s="41">
        <v>18</v>
      </c>
      <c r="B234" s="43" t="s">
        <v>237</v>
      </c>
    </row>
    <row r="235" spans="1:2" ht="13">
      <c r="A235" s="41">
        <v>19</v>
      </c>
      <c r="B235" s="43" t="s">
        <v>361</v>
      </c>
    </row>
    <row r="236" spans="1:2" ht="13">
      <c r="A236" s="41">
        <v>20</v>
      </c>
      <c r="B236" s="43" t="s">
        <v>362</v>
      </c>
    </row>
    <row r="237" spans="1:2" ht="13">
      <c r="A237" s="41">
        <v>21</v>
      </c>
      <c r="B237" s="43" t="s">
        <v>432</v>
      </c>
    </row>
    <row r="238" spans="1:2" ht="13">
      <c r="A238" s="41">
        <v>22</v>
      </c>
      <c r="B238" s="43" t="s">
        <v>433</v>
      </c>
    </row>
    <row r="239" spans="1:2" ht="13">
      <c r="A239" s="41">
        <v>23</v>
      </c>
      <c r="B239" s="43" t="s">
        <v>434</v>
      </c>
    </row>
    <row r="240" spans="1:2" ht="13">
      <c r="A240" s="41">
        <v>24</v>
      </c>
      <c r="B240" s="43" t="s">
        <v>237</v>
      </c>
    </row>
    <row r="241" spans="1:2" ht="13">
      <c r="A241" s="41">
        <v>25</v>
      </c>
      <c r="B241" s="42" t="s">
        <v>366</v>
      </c>
    </row>
    <row r="242" spans="1:2" ht="13">
      <c r="A242" s="41">
        <v>26</v>
      </c>
      <c r="B242" s="43" t="s">
        <v>367</v>
      </c>
    </row>
    <row r="243" spans="1:2" ht="13">
      <c r="A243" s="41">
        <v>27</v>
      </c>
      <c r="B243" s="43" t="s">
        <v>237</v>
      </c>
    </row>
    <row r="244" spans="1:2" ht="13">
      <c r="A244" s="41">
        <v>28</v>
      </c>
      <c r="B244" s="42" t="s">
        <v>368</v>
      </c>
    </row>
    <row r="245" spans="1:2" ht="13">
      <c r="A245" s="41">
        <v>29</v>
      </c>
      <c r="B245" s="43" t="s">
        <v>369</v>
      </c>
    </row>
    <row r="246" spans="1:2" ht="13">
      <c r="A246" s="41">
        <v>30</v>
      </c>
      <c r="B246" s="43" t="s">
        <v>370</v>
      </c>
    </row>
    <row r="247" spans="1:2" ht="13">
      <c r="A247" s="41">
        <v>31</v>
      </c>
      <c r="B247" s="43" t="s">
        <v>371</v>
      </c>
    </row>
    <row r="248" spans="1:2" ht="13">
      <c r="A248" s="41">
        <v>32</v>
      </c>
      <c r="B248" s="43" t="s">
        <v>237</v>
      </c>
    </row>
    <row r="249" spans="1:2" ht="13">
      <c r="A249" s="41">
        <v>33</v>
      </c>
      <c r="B249" s="42" t="s">
        <v>372</v>
      </c>
    </row>
    <row r="250" spans="1:2" ht="13">
      <c r="A250" s="41">
        <v>34</v>
      </c>
      <c r="B250" s="43" t="s">
        <v>373</v>
      </c>
    </row>
    <row r="251" spans="1:2" ht="13">
      <c r="A251" s="41">
        <v>35</v>
      </c>
      <c r="B251" s="43" t="s">
        <v>374</v>
      </c>
    </row>
    <row r="252" spans="1:2" ht="13">
      <c r="A252" s="41">
        <v>36</v>
      </c>
      <c r="B252" s="43" t="s">
        <v>375</v>
      </c>
    </row>
    <row r="253" spans="1:2" ht="13">
      <c r="A253" s="41">
        <v>37</v>
      </c>
      <c r="B253" s="43" t="s">
        <v>376</v>
      </c>
    </row>
    <row r="254" spans="1:2" ht="13">
      <c r="A254" s="41">
        <v>38</v>
      </c>
      <c r="B254" s="43" t="s">
        <v>237</v>
      </c>
    </row>
    <row r="255" spans="1:2" ht="13">
      <c r="A255" s="41">
        <v>39</v>
      </c>
      <c r="B255" s="42" t="s">
        <v>309</v>
      </c>
    </row>
    <row r="256" spans="1:2" ht="13">
      <c r="A256" s="41">
        <v>40</v>
      </c>
      <c r="B256" s="43" t="s">
        <v>377</v>
      </c>
    </row>
    <row r="257" spans="1:2" ht="13">
      <c r="A257" s="41">
        <v>41</v>
      </c>
      <c r="B257" s="43" t="s">
        <v>378</v>
      </c>
    </row>
    <row r="258" spans="1:2" ht="13">
      <c r="A258" s="41">
        <v>42</v>
      </c>
      <c r="B258" s="43" t="s">
        <v>237</v>
      </c>
    </row>
    <row r="259" spans="1:2" ht="13">
      <c r="A259" s="41">
        <v>43</v>
      </c>
      <c r="B259" s="43" t="s">
        <v>379</v>
      </c>
    </row>
    <row r="260" spans="1:2" ht="13">
      <c r="A260" s="41">
        <v>44</v>
      </c>
      <c r="B260" s="43" t="s">
        <v>380</v>
      </c>
    </row>
    <row r="261" spans="1:2" ht="13">
      <c r="A261" s="41">
        <v>45</v>
      </c>
      <c r="B261" s="43" t="s">
        <v>381</v>
      </c>
    </row>
    <row r="262" spans="1:2" ht="13">
      <c r="A262" s="41">
        <v>46</v>
      </c>
      <c r="B262" s="43" t="s">
        <v>435</v>
      </c>
    </row>
    <row r="263" spans="1:2" ht="13">
      <c r="A263" s="41">
        <v>47</v>
      </c>
      <c r="B263" s="43" t="s">
        <v>383</v>
      </c>
    </row>
    <row r="264" spans="1:2" ht="13">
      <c r="A264" s="41">
        <v>48</v>
      </c>
      <c r="B264" s="43" t="s">
        <v>384</v>
      </c>
    </row>
    <row r="265" spans="1:2" ht="13">
      <c r="A265" s="41">
        <v>49</v>
      </c>
      <c r="B265" s="43" t="s">
        <v>385</v>
      </c>
    </row>
    <row r="266" spans="1:2" ht="13">
      <c r="A266" s="41">
        <v>50</v>
      </c>
      <c r="B266" s="43" t="s">
        <v>237</v>
      </c>
    </row>
    <row r="267" spans="1:2" ht="13">
      <c r="A267" s="41">
        <v>51</v>
      </c>
      <c r="B267" s="42" t="s">
        <v>386</v>
      </c>
    </row>
    <row r="268" spans="1:2" ht="13">
      <c r="A268" s="41">
        <v>52</v>
      </c>
      <c r="B268" s="43" t="s">
        <v>318</v>
      </c>
    </row>
    <row r="269" spans="1:2" ht="13">
      <c r="A269" s="41">
        <v>53</v>
      </c>
      <c r="B269" s="43" t="s">
        <v>237</v>
      </c>
    </row>
    <row r="270" spans="1:2" ht="13">
      <c r="A270" s="41">
        <v>54</v>
      </c>
      <c r="B270" s="42" t="s">
        <v>305</v>
      </c>
    </row>
    <row r="271" spans="1:2" ht="13">
      <c r="A271" s="41">
        <v>55</v>
      </c>
      <c r="B271" s="43" t="s">
        <v>307</v>
      </c>
    </row>
    <row r="272" spans="1:2" ht="13">
      <c r="A272" s="41">
        <v>56</v>
      </c>
      <c r="B272" s="43" t="s">
        <v>308</v>
      </c>
    </row>
    <row r="273" spans="1:2" ht="13">
      <c r="A273" s="41">
        <v>57</v>
      </c>
      <c r="B273" s="43" t="s">
        <v>237</v>
      </c>
    </row>
    <row r="274" spans="1:2" ht="13">
      <c r="A274" s="41">
        <v>58</v>
      </c>
      <c r="B274" s="43" t="s">
        <v>387</v>
      </c>
    </row>
    <row r="275" spans="1:2" ht="13">
      <c r="A275" s="41">
        <v>59</v>
      </c>
      <c r="B275" s="43" t="s">
        <v>388</v>
      </c>
    </row>
    <row r="276" spans="1:2" ht="13">
      <c r="A276" s="41">
        <v>60</v>
      </c>
      <c r="B276" s="43" t="s">
        <v>389</v>
      </c>
    </row>
    <row r="277" spans="1:2" ht="13">
      <c r="A277" s="41">
        <v>61</v>
      </c>
      <c r="B277" s="43" t="s">
        <v>390</v>
      </c>
    </row>
    <row r="278" spans="1:2" ht="13">
      <c r="A278" s="41">
        <v>62</v>
      </c>
      <c r="B278" s="43" t="s">
        <v>391</v>
      </c>
    </row>
    <row r="279" spans="1:2" ht="13">
      <c r="A279" s="41">
        <v>63</v>
      </c>
      <c r="B279" s="43" t="s">
        <v>392</v>
      </c>
    </row>
    <row r="280" spans="1:2" ht="13">
      <c r="A280" s="41">
        <v>64</v>
      </c>
      <c r="B280" s="43" t="s">
        <v>393</v>
      </c>
    </row>
    <row r="281" spans="1:2" ht="13">
      <c r="A281" s="41">
        <v>65</v>
      </c>
      <c r="B281" s="43" t="s">
        <v>394</v>
      </c>
    </row>
    <row r="282" spans="1:2" ht="13">
      <c r="A282" s="41">
        <v>66</v>
      </c>
      <c r="B282" s="43" t="s">
        <v>395</v>
      </c>
    </row>
    <row r="283" spans="1:2" ht="13">
      <c r="A283" s="41">
        <v>67</v>
      </c>
      <c r="B283" s="43" t="s">
        <v>396</v>
      </c>
    </row>
    <row r="284" spans="1:2" ht="13">
      <c r="A284" s="41">
        <v>68</v>
      </c>
      <c r="B284" s="43" t="s">
        <v>397</v>
      </c>
    </row>
    <row r="285" spans="1:2" ht="13">
      <c r="A285" s="41">
        <v>69</v>
      </c>
      <c r="B285" s="43" t="s">
        <v>398</v>
      </c>
    </row>
    <row r="287" spans="1:2" ht="21.75" customHeight="1">
      <c r="A287" s="204" t="s">
        <v>436</v>
      </c>
      <c r="B287" s="204"/>
    </row>
    <row r="288" spans="1:2" ht="13">
      <c r="A288" s="41">
        <v>1</v>
      </c>
      <c r="B288" s="42" t="s">
        <v>231</v>
      </c>
    </row>
    <row r="289" spans="1:2" ht="13">
      <c r="A289" s="41">
        <v>2</v>
      </c>
      <c r="B289" s="42" t="s">
        <v>437</v>
      </c>
    </row>
    <row r="290" spans="1:2" ht="13">
      <c r="A290" s="41">
        <v>3</v>
      </c>
      <c r="B290" s="42" t="s">
        <v>231</v>
      </c>
    </row>
    <row r="291" spans="1:2" ht="13">
      <c r="A291" s="41">
        <v>4</v>
      </c>
      <c r="B291" s="43" t="s">
        <v>233</v>
      </c>
    </row>
    <row r="292" spans="1:2" ht="13">
      <c r="A292" s="41">
        <v>5</v>
      </c>
      <c r="B292" s="43" t="s">
        <v>234</v>
      </c>
    </row>
    <row r="293" spans="1:2" ht="13">
      <c r="A293" s="41">
        <v>6</v>
      </c>
      <c r="B293" s="43" t="s">
        <v>237</v>
      </c>
    </row>
    <row r="294" spans="1:2" ht="13">
      <c r="A294" s="41">
        <v>7</v>
      </c>
      <c r="B294" s="42" t="s">
        <v>351</v>
      </c>
    </row>
    <row r="295" spans="1:2" ht="13">
      <c r="A295" s="41">
        <v>8</v>
      </c>
      <c r="B295" s="43" t="s">
        <v>352</v>
      </c>
    </row>
    <row r="296" spans="1:2" ht="13">
      <c r="A296" s="41">
        <v>9</v>
      </c>
      <c r="B296" s="43" t="s">
        <v>438</v>
      </c>
    </row>
    <row r="297" spans="1:2" ht="13">
      <c r="A297" s="41">
        <v>10</v>
      </c>
      <c r="B297" s="43" t="s">
        <v>439</v>
      </c>
    </row>
    <row r="298" spans="1:2" ht="13">
      <c r="A298" s="41">
        <v>11</v>
      </c>
      <c r="B298" s="43" t="s">
        <v>237</v>
      </c>
    </row>
    <row r="299" spans="1:2" ht="13">
      <c r="A299" s="41">
        <v>12</v>
      </c>
      <c r="B299" s="43" t="s">
        <v>355</v>
      </c>
    </row>
    <row r="300" spans="1:2" ht="13">
      <c r="A300" s="41">
        <v>13</v>
      </c>
      <c r="B300" s="43" t="s">
        <v>440</v>
      </c>
    </row>
    <row r="301" spans="1:2" ht="13">
      <c r="A301" s="41">
        <v>14</v>
      </c>
      <c r="B301" s="43" t="s">
        <v>441</v>
      </c>
    </row>
    <row r="302" spans="1:2" ht="13">
      <c r="A302" s="41">
        <v>15</v>
      </c>
      <c r="B302" s="43" t="s">
        <v>442</v>
      </c>
    </row>
    <row r="303" spans="1:2" ht="13">
      <c r="A303" s="41">
        <v>16</v>
      </c>
      <c r="B303" s="43" t="s">
        <v>443</v>
      </c>
    </row>
    <row r="304" spans="1:2" ht="13">
      <c r="A304" s="41">
        <v>17</v>
      </c>
      <c r="B304" s="43" t="s">
        <v>360</v>
      </c>
    </row>
    <row r="305" spans="1:2" ht="13">
      <c r="A305" s="41">
        <v>18</v>
      </c>
      <c r="B305" s="43" t="s">
        <v>237</v>
      </c>
    </row>
    <row r="306" spans="1:2" ht="13">
      <c r="A306" s="41">
        <v>19</v>
      </c>
      <c r="B306" s="43" t="s">
        <v>361</v>
      </c>
    </row>
    <row r="307" spans="1:2" ht="13">
      <c r="A307" s="41">
        <v>20</v>
      </c>
      <c r="B307" s="43" t="s">
        <v>362</v>
      </c>
    </row>
    <row r="308" spans="1:2" ht="13">
      <c r="A308" s="41">
        <v>21</v>
      </c>
      <c r="B308" s="43" t="s">
        <v>444</v>
      </c>
    </row>
    <row r="309" spans="1:2" ht="13">
      <c r="A309" s="41">
        <v>22</v>
      </c>
      <c r="B309" s="43" t="s">
        <v>364</v>
      </c>
    </row>
    <row r="310" spans="1:2" ht="13">
      <c r="A310" s="41">
        <v>23</v>
      </c>
      <c r="B310" s="43" t="s">
        <v>445</v>
      </c>
    </row>
    <row r="311" spans="1:2" ht="13">
      <c r="A311" s="41">
        <v>24</v>
      </c>
      <c r="B311" s="43" t="s">
        <v>237</v>
      </c>
    </row>
    <row r="312" spans="1:2" ht="13">
      <c r="A312" s="41">
        <v>25</v>
      </c>
      <c r="B312" s="42" t="s">
        <v>366</v>
      </c>
    </row>
    <row r="313" spans="1:2" ht="13">
      <c r="A313" s="41">
        <v>26</v>
      </c>
      <c r="B313" s="43" t="s">
        <v>367</v>
      </c>
    </row>
    <row r="314" spans="1:2" ht="13">
      <c r="A314" s="41">
        <v>27</v>
      </c>
      <c r="B314" s="43" t="s">
        <v>237</v>
      </c>
    </row>
    <row r="315" spans="1:2" ht="13">
      <c r="A315" s="41">
        <v>28</v>
      </c>
      <c r="B315" s="42" t="s">
        <v>368</v>
      </c>
    </row>
    <row r="316" spans="1:2" ht="13">
      <c r="A316" s="41">
        <v>29</v>
      </c>
      <c r="B316" s="43" t="s">
        <v>369</v>
      </c>
    </row>
    <row r="317" spans="1:2" ht="13">
      <c r="A317" s="41">
        <v>30</v>
      </c>
      <c r="B317" s="43" t="s">
        <v>370</v>
      </c>
    </row>
    <row r="318" spans="1:2" ht="13">
      <c r="A318" s="41">
        <v>31</v>
      </c>
      <c r="B318" s="43" t="s">
        <v>371</v>
      </c>
    </row>
    <row r="319" spans="1:2" ht="13">
      <c r="A319" s="41">
        <v>32</v>
      </c>
      <c r="B319" s="43" t="s">
        <v>237</v>
      </c>
    </row>
    <row r="320" spans="1:2" ht="13">
      <c r="A320" s="41">
        <v>33</v>
      </c>
      <c r="B320" s="42" t="s">
        <v>372</v>
      </c>
    </row>
    <row r="321" spans="1:2" ht="13">
      <c r="A321" s="41">
        <v>34</v>
      </c>
      <c r="B321" s="43" t="s">
        <v>373</v>
      </c>
    </row>
    <row r="322" spans="1:2" ht="13">
      <c r="A322" s="41">
        <v>35</v>
      </c>
      <c r="B322" s="43" t="s">
        <v>374</v>
      </c>
    </row>
    <row r="323" spans="1:2" ht="13">
      <c r="A323" s="41">
        <v>36</v>
      </c>
      <c r="B323" s="43" t="s">
        <v>375</v>
      </c>
    </row>
    <row r="324" spans="1:2" ht="13">
      <c r="A324" s="41">
        <v>37</v>
      </c>
      <c r="B324" s="43" t="s">
        <v>376</v>
      </c>
    </row>
    <row r="325" spans="1:2" ht="13">
      <c r="A325" s="41">
        <v>38</v>
      </c>
      <c r="B325" s="43" t="s">
        <v>237</v>
      </c>
    </row>
    <row r="326" spans="1:2" ht="13">
      <c r="A326" s="41">
        <v>39</v>
      </c>
      <c r="B326" s="42" t="s">
        <v>309</v>
      </c>
    </row>
    <row r="327" spans="1:2" ht="13">
      <c r="A327" s="41">
        <v>40</v>
      </c>
      <c r="B327" s="43" t="s">
        <v>377</v>
      </c>
    </row>
    <row r="328" spans="1:2" ht="13">
      <c r="A328" s="41">
        <v>41</v>
      </c>
      <c r="B328" s="43" t="s">
        <v>378</v>
      </c>
    </row>
    <row r="329" spans="1:2" ht="13">
      <c r="A329" s="41">
        <v>42</v>
      </c>
      <c r="B329" s="43" t="s">
        <v>237</v>
      </c>
    </row>
    <row r="330" spans="1:2" ht="13">
      <c r="A330" s="41">
        <v>43</v>
      </c>
      <c r="B330" s="43" t="s">
        <v>379</v>
      </c>
    </row>
    <row r="331" spans="1:2" ht="13">
      <c r="A331" s="41">
        <v>44</v>
      </c>
      <c r="B331" s="43" t="s">
        <v>380</v>
      </c>
    </row>
    <row r="332" spans="1:2" ht="13">
      <c r="A332" s="41">
        <v>45</v>
      </c>
      <c r="B332" s="43" t="s">
        <v>381</v>
      </c>
    </row>
    <row r="333" spans="1:2" ht="13">
      <c r="A333" s="41">
        <v>46</v>
      </c>
      <c r="B333" s="43" t="s">
        <v>446</v>
      </c>
    </row>
    <row r="334" spans="1:2" ht="13">
      <c r="A334" s="41">
        <v>47</v>
      </c>
      <c r="B334" s="43" t="s">
        <v>383</v>
      </c>
    </row>
    <row r="335" spans="1:2" ht="13">
      <c r="A335" s="41">
        <v>48</v>
      </c>
      <c r="B335" s="43" t="s">
        <v>384</v>
      </c>
    </row>
    <row r="336" spans="1:2" ht="13">
      <c r="A336" s="41">
        <v>49</v>
      </c>
      <c r="B336" s="43" t="s">
        <v>385</v>
      </c>
    </row>
    <row r="337" spans="1:2" ht="13">
      <c r="A337" s="41">
        <v>50</v>
      </c>
      <c r="B337" s="43" t="s">
        <v>237</v>
      </c>
    </row>
    <row r="338" spans="1:2" ht="13">
      <c r="A338" s="41">
        <v>51</v>
      </c>
      <c r="B338" s="42" t="s">
        <v>386</v>
      </c>
    </row>
    <row r="339" spans="1:2" ht="13">
      <c r="A339" s="41">
        <v>52</v>
      </c>
      <c r="B339" s="43" t="s">
        <v>318</v>
      </c>
    </row>
    <row r="340" spans="1:2" ht="13">
      <c r="A340" s="41">
        <v>53</v>
      </c>
      <c r="B340" s="43" t="s">
        <v>237</v>
      </c>
    </row>
    <row r="341" spans="1:2" ht="13">
      <c r="A341" s="41">
        <v>54</v>
      </c>
      <c r="B341" s="42" t="s">
        <v>305</v>
      </c>
    </row>
    <row r="342" spans="1:2" ht="13">
      <c r="A342" s="41">
        <v>55</v>
      </c>
      <c r="B342" s="43" t="s">
        <v>307</v>
      </c>
    </row>
    <row r="343" spans="1:2" ht="13">
      <c r="A343" s="41">
        <v>56</v>
      </c>
      <c r="B343" s="43" t="s">
        <v>308</v>
      </c>
    </row>
    <row r="344" spans="1:2" ht="13">
      <c r="A344" s="41">
        <v>57</v>
      </c>
      <c r="B344" s="43" t="s">
        <v>237</v>
      </c>
    </row>
    <row r="345" spans="1:2" ht="13">
      <c r="A345" s="41">
        <v>58</v>
      </c>
      <c r="B345" s="43" t="s">
        <v>387</v>
      </c>
    </row>
    <row r="346" spans="1:2" ht="13">
      <c r="A346" s="41">
        <v>59</v>
      </c>
      <c r="B346" s="43" t="s">
        <v>388</v>
      </c>
    </row>
    <row r="347" spans="1:2" ht="13">
      <c r="A347" s="41">
        <v>60</v>
      </c>
      <c r="B347" s="43" t="s">
        <v>389</v>
      </c>
    </row>
    <row r="348" spans="1:2" ht="13">
      <c r="A348" s="41">
        <v>61</v>
      </c>
      <c r="B348" s="43" t="s">
        <v>390</v>
      </c>
    </row>
    <row r="349" spans="1:2" ht="13">
      <c r="A349" s="41">
        <v>62</v>
      </c>
      <c r="B349" s="43" t="s">
        <v>391</v>
      </c>
    </row>
    <row r="350" spans="1:2" ht="13">
      <c r="A350" s="41">
        <v>63</v>
      </c>
      <c r="B350" s="43" t="s">
        <v>392</v>
      </c>
    </row>
    <row r="351" spans="1:2" ht="13">
      <c r="A351" s="41">
        <v>64</v>
      </c>
      <c r="B351" s="43" t="s">
        <v>393</v>
      </c>
    </row>
    <row r="352" spans="1:2" ht="13">
      <c r="A352" s="41">
        <v>65</v>
      </c>
      <c r="B352" s="43" t="s">
        <v>394</v>
      </c>
    </row>
    <row r="353" spans="1:2" ht="13">
      <c r="A353" s="41">
        <v>66</v>
      </c>
      <c r="B353" s="43" t="s">
        <v>395</v>
      </c>
    </row>
    <row r="354" spans="1:2" ht="13">
      <c r="A354" s="41">
        <v>67</v>
      </c>
      <c r="B354" s="43" t="s">
        <v>396</v>
      </c>
    </row>
    <row r="355" spans="1:2" ht="13">
      <c r="A355" s="41">
        <v>68</v>
      </c>
      <c r="B355" s="43" t="s">
        <v>397</v>
      </c>
    </row>
    <row r="356" spans="1:2" ht="13">
      <c r="A356" s="41">
        <v>69</v>
      </c>
      <c r="B356" s="43" t="s">
        <v>398</v>
      </c>
    </row>
    <row r="358" spans="1:2" ht="21.75" customHeight="1">
      <c r="A358" s="204" t="s">
        <v>447</v>
      </c>
      <c r="B358" s="204"/>
    </row>
    <row r="359" spans="1:2" ht="13">
      <c r="A359" s="41">
        <v>1</v>
      </c>
      <c r="B359" s="42" t="s">
        <v>231</v>
      </c>
    </row>
    <row r="360" spans="1:2" ht="13">
      <c r="A360" s="41">
        <v>2</v>
      </c>
      <c r="B360" s="42" t="s">
        <v>448</v>
      </c>
    </row>
    <row r="361" spans="1:2" ht="13">
      <c r="A361" s="41">
        <v>3</v>
      </c>
      <c r="B361" s="42" t="s">
        <v>231</v>
      </c>
    </row>
    <row r="362" spans="1:2" ht="13">
      <c r="A362" s="41">
        <v>4</v>
      </c>
      <c r="B362" s="43" t="s">
        <v>233</v>
      </c>
    </row>
    <row r="363" spans="1:2" ht="13">
      <c r="A363" s="41">
        <v>5</v>
      </c>
      <c r="B363" s="43" t="s">
        <v>234</v>
      </c>
    </row>
    <row r="364" spans="1:2" ht="13">
      <c r="A364" s="41">
        <v>6</v>
      </c>
      <c r="B364" s="43" t="s">
        <v>237</v>
      </c>
    </row>
    <row r="365" spans="1:2" ht="13">
      <c r="A365" s="41">
        <v>7</v>
      </c>
      <c r="B365" s="42" t="s">
        <v>351</v>
      </c>
    </row>
    <row r="366" spans="1:2" ht="13">
      <c r="A366" s="41">
        <v>8</v>
      </c>
      <c r="B366" s="43" t="s">
        <v>352</v>
      </c>
    </row>
    <row r="367" spans="1:2" ht="13">
      <c r="A367" s="41">
        <v>9</v>
      </c>
      <c r="B367" s="43" t="s">
        <v>449</v>
      </c>
    </row>
    <row r="368" spans="1:2" ht="13">
      <c r="A368" s="41">
        <v>10</v>
      </c>
      <c r="B368" s="43" t="s">
        <v>450</v>
      </c>
    </row>
    <row r="369" spans="1:2" ht="13">
      <c r="A369" s="41">
        <v>11</v>
      </c>
      <c r="B369" s="43" t="s">
        <v>237</v>
      </c>
    </row>
    <row r="370" spans="1:2" ht="13">
      <c r="A370" s="41">
        <v>12</v>
      </c>
      <c r="B370" s="43" t="s">
        <v>355</v>
      </c>
    </row>
    <row r="371" spans="1:2" ht="13">
      <c r="A371" s="41">
        <v>13</v>
      </c>
      <c r="B371" s="43" t="s">
        <v>451</v>
      </c>
    </row>
    <row r="372" spans="1:2" ht="13">
      <c r="A372" s="41">
        <v>14</v>
      </c>
      <c r="B372" s="43" t="s">
        <v>452</v>
      </c>
    </row>
    <row r="373" spans="1:2" ht="13">
      <c r="A373" s="41">
        <v>15</v>
      </c>
      <c r="B373" s="43" t="s">
        <v>453</v>
      </c>
    </row>
    <row r="374" spans="1:2" ht="13">
      <c r="A374" s="41">
        <v>16</v>
      </c>
      <c r="B374" s="43" t="s">
        <v>454</v>
      </c>
    </row>
    <row r="375" spans="1:2" ht="13">
      <c r="A375" s="41">
        <v>17</v>
      </c>
      <c r="B375" s="43" t="s">
        <v>360</v>
      </c>
    </row>
    <row r="376" spans="1:2" ht="13">
      <c r="A376" s="41">
        <v>18</v>
      </c>
      <c r="B376" s="43" t="s">
        <v>237</v>
      </c>
    </row>
    <row r="377" spans="1:2" ht="13">
      <c r="A377" s="41">
        <v>19</v>
      </c>
      <c r="B377" s="43" t="s">
        <v>361</v>
      </c>
    </row>
    <row r="378" spans="1:2" ht="13">
      <c r="A378" s="41">
        <v>20</v>
      </c>
      <c r="B378" s="43" t="s">
        <v>362</v>
      </c>
    </row>
    <row r="379" spans="1:2" ht="13">
      <c r="A379" s="41">
        <v>21</v>
      </c>
      <c r="B379" s="43" t="s">
        <v>455</v>
      </c>
    </row>
    <row r="380" spans="1:2" ht="13">
      <c r="A380" s="41">
        <v>22</v>
      </c>
      <c r="B380" s="43" t="s">
        <v>456</v>
      </c>
    </row>
    <row r="381" spans="1:2" ht="13">
      <c r="A381" s="41">
        <v>23</v>
      </c>
      <c r="B381" s="43" t="s">
        <v>457</v>
      </c>
    </row>
    <row r="382" spans="1:2" ht="13">
      <c r="A382" s="41">
        <v>24</v>
      </c>
      <c r="B382" s="43" t="s">
        <v>237</v>
      </c>
    </row>
    <row r="383" spans="1:2" ht="13">
      <c r="A383" s="41">
        <v>25</v>
      </c>
      <c r="B383" s="42" t="s">
        <v>366</v>
      </c>
    </row>
    <row r="384" spans="1:2" ht="13">
      <c r="A384" s="41">
        <v>26</v>
      </c>
      <c r="B384" s="43" t="s">
        <v>367</v>
      </c>
    </row>
    <row r="385" spans="1:2" ht="13">
      <c r="A385" s="41">
        <v>27</v>
      </c>
      <c r="B385" s="43" t="s">
        <v>237</v>
      </c>
    </row>
    <row r="386" spans="1:2" ht="13">
      <c r="A386" s="41">
        <v>28</v>
      </c>
      <c r="B386" s="42" t="s">
        <v>368</v>
      </c>
    </row>
    <row r="387" spans="1:2" ht="13">
      <c r="A387" s="41">
        <v>29</v>
      </c>
      <c r="B387" s="43" t="s">
        <v>369</v>
      </c>
    </row>
    <row r="388" spans="1:2" ht="13">
      <c r="A388" s="41">
        <v>30</v>
      </c>
      <c r="B388" s="43" t="s">
        <v>370</v>
      </c>
    </row>
    <row r="389" spans="1:2" ht="13">
      <c r="A389" s="41">
        <v>31</v>
      </c>
      <c r="B389" s="43" t="s">
        <v>371</v>
      </c>
    </row>
    <row r="390" spans="1:2" ht="13">
      <c r="A390" s="41">
        <v>32</v>
      </c>
      <c r="B390" s="43" t="s">
        <v>237</v>
      </c>
    </row>
    <row r="391" spans="1:2" ht="13">
      <c r="A391" s="41">
        <v>33</v>
      </c>
      <c r="B391" s="42" t="s">
        <v>372</v>
      </c>
    </row>
    <row r="392" spans="1:2" ht="13">
      <c r="A392" s="41">
        <v>34</v>
      </c>
      <c r="B392" s="43" t="s">
        <v>373</v>
      </c>
    </row>
    <row r="393" spans="1:2" ht="13">
      <c r="A393" s="41">
        <v>35</v>
      </c>
      <c r="B393" s="43" t="s">
        <v>374</v>
      </c>
    </row>
    <row r="394" spans="1:2" ht="13">
      <c r="A394" s="41">
        <v>36</v>
      </c>
      <c r="B394" s="43" t="s">
        <v>375</v>
      </c>
    </row>
    <row r="395" spans="1:2" ht="13">
      <c r="A395" s="41">
        <v>37</v>
      </c>
      <c r="B395" s="43" t="s">
        <v>376</v>
      </c>
    </row>
    <row r="396" spans="1:2" ht="13">
      <c r="A396" s="41">
        <v>38</v>
      </c>
      <c r="B396" s="43" t="s">
        <v>237</v>
      </c>
    </row>
    <row r="397" spans="1:2" ht="13">
      <c r="A397" s="41">
        <v>39</v>
      </c>
      <c r="B397" s="42" t="s">
        <v>309</v>
      </c>
    </row>
    <row r="398" spans="1:2" ht="13">
      <c r="A398" s="41">
        <v>40</v>
      </c>
      <c r="B398" s="43" t="s">
        <v>377</v>
      </c>
    </row>
    <row r="399" spans="1:2" ht="13">
      <c r="A399" s="41">
        <v>41</v>
      </c>
      <c r="B399" s="43" t="s">
        <v>378</v>
      </c>
    </row>
    <row r="400" spans="1:2" ht="13">
      <c r="A400" s="41">
        <v>42</v>
      </c>
      <c r="B400" s="43" t="s">
        <v>237</v>
      </c>
    </row>
    <row r="401" spans="1:2" ht="13">
      <c r="A401" s="41">
        <v>43</v>
      </c>
      <c r="B401" s="43" t="s">
        <v>379</v>
      </c>
    </row>
    <row r="402" spans="1:2" ht="13">
      <c r="A402" s="41">
        <v>44</v>
      </c>
      <c r="B402" s="43" t="s">
        <v>380</v>
      </c>
    </row>
    <row r="403" spans="1:2" ht="13">
      <c r="A403" s="41">
        <v>45</v>
      </c>
      <c r="B403" s="43" t="s">
        <v>381</v>
      </c>
    </row>
    <row r="404" spans="1:2" ht="13">
      <c r="A404" s="41">
        <v>46</v>
      </c>
      <c r="B404" s="43" t="s">
        <v>458</v>
      </c>
    </row>
    <row r="405" spans="1:2" ht="13">
      <c r="A405" s="41">
        <v>47</v>
      </c>
      <c r="B405" s="43" t="s">
        <v>383</v>
      </c>
    </row>
    <row r="406" spans="1:2" ht="13">
      <c r="A406" s="41">
        <v>48</v>
      </c>
      <c r="B406" s="43" t="s">
        <v>384</v>
      </c>
    </row>
    <row r="407" spans="1:2" ht="13">
      <c r="A407" s="41">
        <v>49</v>
      </c>
      <c r="B407" s="43" t="s">
        <v>385</v>
      </c>
    </row>
    <row r="408" spans="1:2" ht="13">
      <c r="A408" s="41">
        <v>50</v>
      </c>
      <c r="B408" s="43" t="s">
        <v>237</v>
      </c>
    </row>
    <row r="409" spans="1:2" ht="13">
      <c r="A409" s="41">
        <v>51</v>
      </c>
      <c r="B409" s="42" t="s">
        <v>386</v>
      </c>
    </row>
    <row r="410" spans="1:2" ht="13">
      <c r="A410" s="41">
        <v>52</v>
      </c>
      <c r="B410" s="43" t="s">
        <v>318</v>
      </c>
    </row>
    <row r="411" spans="1:2" ht="13">
      <c r="A411" s="41">
        <v>53</v>
      </c>
      <c r="B411" s="43" t="s">
        <v>237</v>
      </c>
    </row>
    <row r="412" spans="1:2" ht="13">
      <c r="A412" s="41">
        <v>54</v>
      </c>
      <c r="B412" s="42" t="s">
        <v>305</v>
      </c>
    </row>
    <row r="413" spans="1:2" ht="13">
      <c r="A413" s="41">
        <v>55</v>
      </c>
      <c r="B413" s="43" t="s">
        <v>307</v>
      </c>
    </row>
    <row r="414" spans="1:2" ht="13">
      <c r="A414" s="41">
        <v>56</v>
      </c>
      <c r="B414" s="43" t="s">
        <v>308</v>
      </c>
    </row>
    <row r="415" spans="1:2" ht="13">
      <c r="A415" s="41">
        <v>57</v>
      </c>
      <c r="B415" s="43" t="s">
        <v>237</v>
      </c>
    </row>
    <row r="416" spans="1:2" ht="13">
      <c r="A416" s="41">
        <v>58</v>
      </c>
      <c r="B416" s="43" t="s">
        <v>387</v>
      </c>
    </row>
    <row r="417" spans="1:2" ht="13">
      <c r="A417" s="41">
        <v>59</v>
      </c>
      <c r="B417" s="43" t="s">
        <v>388</v>
      </c>
    </row>
    <row r="418" spans="1:2" ht="13">
      <c r="A418" s="41">
        <v>60</v>
      </c>
      <c r="B418" s="43" t="s">
        <v>389</v>
      </c>
    </row>
    <row r="419" spans="1:2" ht="13">
      <c r="A419" s="41">
        <v>61</v>
      </c>
      <c r="B419" s="43" t="s">
        <v>390</v>
      </c>
    </row>
    <row r="420" spans="1:2" ht="13">
      <c r="A420" s="41">
        <v>62</v>
      </c>
      <c r="B420" s="43" t="s">
        <v>391</v>
      </c>
    </row>
    <row r="421" spans="1:2" ht="13">
      <c r="A421" s="41">
        <v>63</v>
      </c>
      <c r="B421" s="43" t="s">
        <v>392</v>
      </c>
    </row>
    <row r="422" spans="1:2" ht="13">
      <c r="A422" s="41">
        <v>64</v>
      </c>
      <c r="B422" s="43" t="s">
        <v>393</v>
      </c>
    </row>
    <row r="423" spans="1:2" ht="13">
      <c r="A423" s="41">
        <v>65</v>
      </c>
      <c r="B423" s="43" t="s">
        <v>394</v>
      </c>
    </row>
    <row r="424" spans="1:2" ht="13">
      <c r="A424" s="41">
        <v>66</v>
      </c>
      <c r="B424" s="43" t="s">
        <v>395</v>
      </c>
    </row>
    <row r="425" spans="1:2" ht="13">
      <c r="A425" s="41">
        <v>67</v>
      </c>
      <c r="B425" s="43" t="s">
        <v>396</v>
      </c>
    </row>
    <row r="426" spans="1:2" ht="13">
      <c r="A426" s="41">
        <v>68</v>
      </c>
      <c r="B426" s="43" t="s">
        <v>397</v>
      </c>
    </row>
    <row r="427" spans="1:2" ht="13">
      <c r="A427" s="41">
        <v>69</v>
      </c>
      <c r="B427" s="43" t="s">
        <v>398</v>
      </c>
    </row>
    <row r="429" spans="1:2" ht="21.75" customHeight="1">
      <c r="A429" s="204" t="s">
        <v>459</v>
      </c>
      <c r="B429" s="204"/>
    </row>
    <row r="430" spans="1:2" ht="13">
      <c r="A430" s="41">
        <v>1</v>
      </c>
      <c r="B430" s="42" t="s">
        <v>231</v>
      </c>
    </row>
    <row r="431" spans="1:2" ht="13">
      <c r="A431" s="41">
        <v>2</v>
      </c>
      <c r="B431" s="42" t="s">
        <v>460</v>
      </c>
    </row>
    <row r="432" spans="1:2" ht="13">
      <c r="A432" s="41">
        <v>3</v>
      </c>
      <c r="B432" s="42" t="s">
        <v>231</v>
      </c>
    </row>
    <row r="433" spans="1:2" ht="13">
      <c r="A433" s="41">
        <v>4</v>
      </c>
      <c r="B433" s="43" t="s">
        <v>233</v>
      </c>
    </row>
    <row r="434" spans="1:2" ht="13">
      <c r="A434" s="41">
        <v>5</v>
      </c>
      <c r="B434" s="43" t="s">
        <v>234</v>
      </c>
    </row>
    <row r="435" spans="1:2" ht="13">
      <c r="A435" s="41">
        <v>6</v>
      </c>
      <c r="B435" s="43" t="s">
        <v>237</v>
      </c>
    </row>
    <row r="436" spans="1:2" ht="13">
      <c r="A436" s="41">
        <v>7</v>
      </c>
      <c r="B436" s="42" t="s">
        <v>351</v>
      </c>
    </row>
    <row r="437" spans="1:2" ht="13">
      <c r="A437" s="41">
        <v>8</v>
      </c>
      <c r="B437" s="43" t="s">
        <v>401</v>
      </c>
    </row>
    <row r="438" spans="1:2" ht="13">
      <c r="A438" s="41">
        <v>9</v>
      </c>
      <c r="B438" s="43" t="s">
        <v>461</v>
      </c>
    </row>
    <row r="439" spans="1:2" ht="13">
      <c r="A439" s="41">
        <v>10</v>
      </c>
      <c r="B439" s="43" t="s">
        <v>462</v>
      </c>
    </row>
    <row r="440" spans="1:2" ht="13">
      <c r="A440" s="41">
        <v>11</v>
      </c>
      <c r="B440" s="43" t="s">
        <v>237</v>
      </c>
    </row>
    <row r="441" spans="1:2" ht="13">
      <c r="A441" s="41">
        <v>12</v>
      </c>
      <c r="B441" s="43" t="s">
        <v>355</v>
      </c>
    </row>
    <row r="442" spans="1:2" ht="13">
      <c r="A442" s="41">
        <v>13</v>
      </c>
      <c r="B442" s="43" t="s">
        <v>463</v>
      </c>
    </row>
    <row r="443" spans="1:2" ht="13">
      <c r="A443" s="41">
        <v>14</v>
      </c>
      <c r="B443" s="43" t="s">
        <v>464</v>
      </c>
    </row>
    <row r="444" spans="1:2" ht="13">
      <c r="A444" s="41">
        <v>15</v>
      </c>
      <c r="B444" s="43" t="s">
        <v>465</v>
      </c>
    </row>
    <row r="445" spans="1:2" ht="13">
      <c r="A445" s="41">
        <v>16</v>
      </c>
      <c r="B445" s="43" t="s">
        <v>360</v>
      </c>
    </row>
    <row r="446" spans="1:2" ht="13">
      <c r="A446" s="41">
        <v>17</v>
      </c>
      <c r="B446" s="43" t="s">
        <v>237</v>
      </c>
    </row>
    <row r="447" spans="1:2" ht="13">
      <c r="A447" s="41">
        <v>18</v>
      </c>
      <c r="B447" s="43" t="s">
        <v>407</v>
      </c>
    </row>
    <row r="448" spans="1:2" ht="13">
      <c r="A448" s="41">
        <v>19</v>
      </c>
      <c r="B448" s="43" t="s">
        <v>408</v>
      </c>
    </row>
    <row r="449" spans="1:2" ht="13">
      <c r="A449" s="41">
        <v>20</v>
      </c>
      <c r="B449" s="43" t="s">
        <v>466</v>
      </c>
    </row>
    <row r="450" spans="1:2" ht="13">
      <c r="A450" s="41">
        <v>21</v>
      </c>
      <c r="B450" s="43" t="s">
        <v>467</v>
      </c>
    </row>
    <row r="451" spans="1:2" ht="13">
      <c r="A451" s="41">
        <v>22</v>
      </c>
      <c r="B451" s="43" t="s">
        <v>468</v>
      </c>
    </row>
    <row r="452" spans="1:2" ht="13">
      <c r="A452" s="41">
        <v>23</v>
      </c>
      <c r="B452" s="43" t="s">
        <v>237</v>
      </c>
    </row>
    <row r="453" spans="1:2" ht="13">
      <c r="A453" s="41">
        <v>24</v>
      </c>
      <c r="B453" s="42" t="s">
        <v>366</v>
      </c>
    </row>
    <row r="454" spans="1:2" ht="13">
      <c r="A454" s="41">
        <v>25</v>
      </c>
      <c r="B454" s="43" t="s">
        <v>367</v>
      </c>
    </row>
    <row r="455" spans="1:2" ht="13">
      <c r="A455" s="41">
        <v>26</v>
      </c>
      <c r="B455" s="43" t="s">
        <v>237</v>
      </c>
    </row>
    <row r="456" spans="1:2" ht="13">
      <c r="A456" s="41">
        <v>27</v>
      </c>
      <c r="B456" s="42" t="s">
        <v>368</v>
      </c>
    </row>
    <row r="457" spans="1:2" ht="13">
      <c r="A457" s="41">
        <v>28</v>
      </c>
      <c r="B457" s="43" t="s">
        <v>369</v>
      </c>
    </row>
    <row r="458" spans="1:2" ht="13">
      <c r="A458" s="41">
        <v>29</v>
      </c>
      <c r="B458" s="43" t="s">
        <v>370</v>
      </c>
    </row>
    <row r="459" spans="1:2" ht="13">
      <c r="A459" s="41">
        <v>30</v>
      </c>
      <c r="B459" s="43" t="s">
        <v>371</v>
      </c>
    </row>
    <row r="460" spans="1:2" ht="13">
      <c r="A460" s="41">
        <v>31</v>
      </c>
      <c r="B460" s="43" t="s">
        <v>237</v>
      </c>
    </row>
    <row r="461" spans="1:2" ht="13">
      <c r="A461" s="41">
        <v>32</v>
      </c>
      <c r="B461" s="42" t="s">
        <v>372</v>
      </c>
    </row>
    <row r="462" spans="1:2" ht="13">
      <c r="A462" s="41">
        <v>33</v>
      </c>
      <c r="B462" s="43" t="s">
        <v>373</v>
      </c>
    </row>
    <row r="463" spans="1:2" ht="13">
      <c r="A463" s="41">
        <v>34</v>
      </c>
      <c r="B463" s="43" t="s">
        <v>374</v>
      </c>
    </row>
    <row r="464" spans="1:2" ht="13">
      <c r="A464" s="41">
        <v>35</v>
      </c>
      <c r="B464" s="43" t="s">
        <v>375</v>
      </c>
    </row>
    <row r="465" spans="1:2" ht="13">
      <c r="A465" s="41">
        <v>36</v>
      </c>
      <c r="B465" s="43" t="s">
        <v>376</v>
      </c>
    </row>
    <row r="466" spans="1:2" ht="13">
      <c r="A466" s="41">
        <v>37</v>
      </c>
      <c r="B466" s="43" t="s">
        <v>237</v>
      </c>
    </row>
    <row r="467" spans="1:2" ht="13">
      <c r="A467" s="41">
        <v>38</v>
      </c>
      <c r="B467" s="42" t="s">
        <v>309</v>
      </c>
    </row>
    <row r="468" spans="1:2" ht="13">
      <c r="A468" s="41">
        <v>39</v>
      </c>
      <c r="B468" s="43" t="s">
        <v>377</v>
      </c>
    </row>
    <row r="469" spans="1:2" ht="13">
      <c r="A469" s="41">
        <v>40</v>
      </c>
      <c r="B469" s="43" t="s">
        <v>378</v>
      </c>
    </row>
    <row r="470" spans="1:2" ht="13">
      <c r="A470" s="41">
        <v>41</v>
      </c>
      <c r="B470" s="43" t="s">
        <v>237</v>
      </c>
    </row>
    <row r="471" spans="1:2" ht="13">
      <c r="A471" s="41">
        <v>42</v>
      </c>
      <c r="B471" s="43" t="s">
        <v>379</v>
      </c>
    </row>
    <row r="472" spans="1:2" ht="13">
      <c r="A472" s="41">
        <v>43</v>
      </c>
      <c r="B472" s="43" t="s">
        <v>380</v>
      </c>
    </row>
    <row r="473" spans="1:2" ht="13">
      <c r="A473" s="41">
        <v>44</v>
      </c>
      <c r="B473" s="43" t="s">
        <v>381</v>
      </c>
    </row>
    <row r="474" spans="1:2" ht="13">
      <c r="A474" s="41">
        <v>45</v>
      </c>
      <c r="B474" s="43" t="s">
        <v>469</v>
      </c>
    </row>
    <row r="475" spans="1:2" ht="13">
      <c r="A475" s="41">
        <v>46</v>
      </c>
      <c r="B475" s="43" t="s">
        <v>383</v>
      </c>
    </row>
    <row r="476" spans="1:2" ht="13">
      <c r="A476" s="41">
        <v>47</v>
      </c>
      <c r="B476" s="43" t="s">
        <v>384</v>
      </c>
    </row>
    <row r="477" spans="1:2" ht="13">
      <c r="A477" s="41">
        <v>48</v>
      </c>
      <c r="B477" s="43" t="s">
        <v>385</v>
      </c>
    </row>
    <row r="478" spans="1:2" ht="13">
      <c r="A478" s="41">
        <v>49</v>
      </c>
      <c r="B478" s="43" t="s">
        <v>237</v>
      </c>
    </row>
    <row r="479" spans="1:2" ht="13">
      <c r="A479" s="41">
        <v>50</v>
      </c>
      <c r="B479" s="42" t="s">
        <v>386</v>
      </c>
    </row>
    <row r="480" spans="1:2" ht="13">
      <c r="A480" s="41">
        <v>51</v>
      </c>
      <c r="B480" s="43" t="s">
        <v>318</v>
      </c>
    </row>
    <row r="481" spans="1:2" ht="13">
      <c r="A481" s="41">
        <v>52</v>
      </c>
      <c r="B481" s="43" t="s">
        <v>237</v>
      </c>
    </row>
    <row r="482" spans="1:2" ht="13">
      <c r="A482" s="41">
        <v>53</v>
      </c>
      <c r="B482" s="42" t="s">
        <v>305</v>
      </c>
    </row>
    <row r="483" spans="1:2" ht="13">
      <c r="A483" s="41">
        <v>54</v>
      </c>
      <c r="B483" s="43" t="s">
        <v>307</v>
      </c>
    </row>
    <row r="484" spans="1:2" ht="13">
      <c r="A484" s="41">
        <v>55</v>
      </c>
      <c r="B484" s="43" t="s">
        <v>308</v>
      </c>
    </row>
    <row r="485" spans="1:2" ht="13">
      <c r="A485" s="41">
        <v>56</v>
      </c>
      <c r="B485" s="43" t="s">
        <v>237</v>
      </c>
    </row>
    <row r="486" spans="1:2" ht="13">
      <c r="A486" s="41">
        <v>57</v>
      </c>
      <c r="B486" s="43" t="s">
        <v>387</v>
      </c>
    </row>
    <row r="487" spans="1:2" ht="13">
      <c r="A487" s="41">
        <v>58</v>
      </c>
      <c r="B487" s="43" t="s">
        <v>388</v>
      </c>
    </row>
    <row r="488" spans="1:2" ht="13">
      <c r="A488" s="41">
        <v>59</v>
      </c>
      <c r="B488" s="43" t="s">
        <v>389</v>
      </c>
    </row>
    <row r="489" spans="1:2" ht="13">
      <c r="A489" s="41">
        <v>60</v>
      </c>
      <c r="B489" s="43" t="s">
        <v>390</v>
      </c>
    </row>
    <row r="490" spans="1:2" ht="13">
      <c r="A490" s="41">
        <v>61</v>
      </c>
      <c r="B490" s="43" t="s">
        <v>391</v>
      </c>
    </row>
    <row r="491" spans="1:2" ht="13">
      <c r="A491" s="41">
        <v>62</v>
      </c>
      <c r="B491" s="43" t="s">
        <v>392</v>
      </c>
    </row>
    <row r="492" spans="1:2" ht="13">
      <c r="A492" s="41">
        <v>63</v>
      </c>
      <c r="B492" s="43" t="s">
        <v>393</v>
      </c>
    </row>
    <row r="493" spans="1:2" ht="13">
      <c r="A493" s="41">
        <v>64</v>
      </c>
      <c r="B493" s="43" t="s">
        <v>394</v>
      </c>
    </row>
    <row r="494" spans="1:2" ht="13">
      <c r="A494" s="41">
        <v>65</v>
      </c>
      <c r="B494" s="43" t="s">
        <v>395</v>
      </c>
    </row>
    <row r="495" spans="1:2" ht="13">
      <c r="A495" s="41">
        <v>66</v>
      </c>
      <c r="B495" s="43" t="s">
        <v>396</v>
      </c>
    </row>
    <row r="496" spans="1:2" ht="13">
      <c r="A496" s="41">
        <v>67</v>
      </c>
      <c r="B496" s="43" t="s">
        <v>397</v>
      </c>
    </row>
    <row r="497" spans="1:2" ht="13">
      <c r="A497" s="41">
        <v>68</v>
      </c>
      <c r="B497" s="43" t="s">
        <v>398</v>
      </c>
    </row>
    <row r="499" spans="1:2" ht="21.75" customHeight="1">
      <c r="A499" s="204" t="s">
        <v>470</v>
      </c>
      <c r="B499" s="204"/>
    </row>
    <row r="500" spans="1:2" ht="13">
      <c r="A500" s="41">
        <v>1</v>
      </c>
      <c r="B500" s="42" t="s">
        <v>231</v>
      </c>
    </row>
    <row r="501" spans="1:2" ht="13">
      <c r="A501" s="41">
        <v>2</v>
      </c>
      <c r="B501" s="42" t="s">
        <v>471</v>
      </c>
    </row>
    <row r="502" spans="1:2" ht="13">
      <c r="A502" s="41">
        <v>3</v>
      </c>
      <c r="B502" s="42" t="s">
        <v>231</v>
      </c>
    </row>
    <row r="503" spans="1:2" ht="13">
      <c r="A503" s="41">
        <v>4</v>
      </c>
      <c r="B503" s="43" t="s">
        <v>233</v>
      </c>
    </row>
    <row r="504" spans="1:2" ht="13">
      <c r="A504" s="41">
        <v>5</v>
      </c>
      <c r="B504" s="43" t="s">
        <v>234</v>
      </c>
    </row>
    <row r="505" spans="1:2" ht="13">
      <c r="A505" s="41">
        <v>6</v>
      </c>
      <c r="B505" s="43" t="s">
        <v>237</v>
      </c>
    </row>
    <row r="506" spans="1:2" ht="13">
      <c r="A506" s="41">
        <v>7</v>
      </c>
      <c r="B506" s="42" t="s">
        <v>351</v>
      </c>
    </row>
    <row r="507" spans="1:2" ht="13">
      <c r="A507" s="41">
        <v>8</v>
      </c>
      <c r="B507" s="43" t="s">
        <v>401</v>
      </c>
    </row>
    <row r="508" spans="1:2" ht="13">
      <c r="A508" s="41">
        <v>9</v>
      </c>
      <c r="B508" s="43" t="s">
        <v>472</v>
      </c>
    </row>
    <row r="509" spans="1:2" ht="13">
      <c r="A509" s="41">
        <v>10</v>
      </c>
      <c r="B509" s="43" t="s">
        <v>473</v>
      </c>
    </row>
    <row r="510" spans="1:2" ht="13">
      <c r="A510" s="41">
        <v>11</v>
      </c>
      <c r="B510" s="43" t="s">
        <v>237</v>
      </c>
    </row>
    <row r="511" spans="1:2" ht="13">
      <c r="A511" s="41">
        <v>12</v>
      </c>
      <c r="B511" s="43" t="s">
        <v>355</v>
      </c>
    </row>
    <row r="512" spans="1:2" ht="13">
      <c r="A512" s="41">
        <v>13</v>
      </c>
      <c r="B512" s="43" t="s">
        <v>474</v>
      </c>
    </row>
    <row r="513" spans="1:2" ht="13">
      <c r="A513" s="41">
        <v>14</v>
      </c>
      <c r="B513" s="43" t="s">
        <v>475</v>
      </c>
    </row>
    <row r="514" spans="1:2" ht="13">
      <c r="A514" s="41">
        <v>15</v>
      </c>
      <c r="B514" s="43" t="s">
        <v>476</v>
      </c>
    </row>
    <row r="515" spans="1:2" ht="13">
      <c r="A515" s="41">
        <v>16</v>
      </c>
      <c r="B515" s="43" t="s">
        <v>360</v>
      </c>
    </row>
    <row r="516" spans="1:2" ht="13">
      <c r="A516" s="41">
        <v>17</v>
      </c>
      <c r="B516" s="43" t="s">
        <v>237</v>
      </c>
    </row>
    <row r="517" spans="1:2" ht="13">
      <c r="A517" s="41">
        <v>18</v>
      </c>
      <c r="B517" s="43" t="s">
        <v>407</v>
      </c>
    </row>
    <row r="518" spans="1:2" ht="13">
      <c r="A518" s="41">
        <v>19</v>
      </c>
      <c r="B518" s="43" t="s">
        <v>408</v>
      </c>
    </row>
    <row r="519" spans="1:2" ht="13">
      <c r="A519" s="41">
        <v>20</v>
      </c>
      <c r="B519" s="43" t="s">
        <v>477</v>
      </c>
    </row>
    <row r="520" spans="1:2" ht="13">
      <c r="A520" s="41">
        <v>21</v>
      </c>
      <c r="B520" s="43" t="s">
        <v>478</v>
      </c>
    </row>
    <row r="521" spans="1:2" ht="13">
      <c r="A521" s="41">
        <v>22</v>
      </c>
      <c r="B521" s="43" t="s">
        <v>479</v>
      </c>
    </row>
    <row r="522" spans="1:2" ht="13">
      <c r="A522" s="41">
        <v>23</v>
      </c>
      <c r="B522" s="43" t="s">
        <v>237</v>
      </c>
    </row>
    <row r="523" spans="1:2" ht="13">
      <c r="A523" s="41">
        <v>24</v>
      </c>
      <c r="B523" s="42" t="s">
        <v>366</v>
      </c>
    </row>
    <row r="524" spans="1:2" ht="13">
      <c r="A524" s="41">
        <v>25</v>
      </c>
      <c r="B524" s="43" t="s">
        <v>367</v>
      </c>
    </row>
    <row r="525" spans="1:2" ht="13">
      <c r="A525" s="41">
        <v>26</v>
      </c>
      <c r="B525" s="43" t="s">
        <v>237</v>
      </c>
    </row>
    <row r="526" spans="1:2" ht="13">
      <c r="A526" s="41">
        <v>27</v>
      </c>
      <c r="B526" s="42" t="s">
        <v>368</v>
      </c>
    </row>
    <row r="527" spans="1:2" ht="13">
      <c r="A527" s="41">
        <v>28</v>
      </c>
      <c r="B527" s="43" t="s">
        <v>369</v>
      </c>
    </row>
    <row r="528" spans="1:2" ht="13">
      <c r="A528" s="41">
        <v>29</v>
      </c>
      <c r="B528" s="43" t="s">
        <v>370</v>
      </c>
    </row>
    <row r="529" spans="1:2" ht="13">
      <c r="A529" s="41">
        <v>30</v>
      </c>
      <c r="B529" s="43" t="s">
        <v>371</v>
      </c>
    </row>
    <row r="530" spans="1:2" ht="13">
      <c r="A530" s="41">
        <v>31</v>
      </c>
      <c r="B530" s="43" t="s">
        <v>237</v>
      </c>
    </row>
    <row r="531" spans="1:2" ht="13">
      <c r="A531" s="41">
        <v>32</v>
      </c>
      <c r="B531" s="42" t="s">
        <v>372</v>
      </c>
    </row>
    <row r="532" spans="1:2" ht="13">
      <c r="A532" s="41">
        <v>33</v>
      </c>
      <c r="B532" s="43" t="s">
        <v>373</v>
      </c>
    </row>
    <row r="533" spans="1:2" ht="13">
      <c r="A533" s="41">
        <v>34</v>
      </c>
      <c r="B533" s="43" t="s">
        <v>374</v>
      </c>
    </row>
    <row r="534" spans="1:2" ht="13">
      <c r="A534" s="41">
        <v>35</v>
      </c>
      <c r="B534" s="43" t="s">
        <v>375</v>
      </c>
    </row>
    <row r="535" spans="1:2" ht="13">
      <c r="A535" s="41">
        <v>36</v>
      </c>
      <c r="B535" s="43" t="s">
        <v>376</v>
      </c>
    </row>
    <row r="536" spans="1:2" ht="13">
      <c r="A536" s="41">
        <v>37</v>
      </c>
      <c r="B536" s="43" t="s">
        <v>237</v>
      </c>
    </row>
    <row r="537" spans="1:2" ht="13">
      <c r="A537" s="41">
        <v>38</v>
      </c>
      <c r="B537" s="42" t="s">
        <v>309</v>
      </c>
    </row>
    <row r="538" spans="1:2" ht="13">
      <c r="A538" s="41">
        <v>39</v>
      </c>
      <c r="B538" s="43" t="s">
        <v>377</v>
      </c>
    </row>
    <row r="539" spans="1:2" ht="13">
      <c r="A539" s="41">
        <v>40</v>
      </c>
      <c r="B539" s="43" t="s">
        <v>378</v>
      </c>
    </row>
    <row r="540" spans="1:2" ht="13">
      <c r="A540" s="41">
        <v>41</v>
      </c>
      <c r="B540" s="43" t="s">
        <v>237</v>
      </c>
    </row>
    <row r="541" spans="1:2" ht="13">
      <c r="A541" s="41">
        <v>42</v>
      </c>
      <c r="B541" s="43" t="s">
        <v>379</v>
      </c>
    </row>
    <row r="542" spans="1:2" ht="13">
      <c r="A542" s="41">
        <v>43</v>
      </c>
      <c r="B542" s="43" t="s">
        <v>380</v>
      </c>
    </row>
    <row r="543" spans="1:2" ht="13">
      <c r="A543" s="41">
        <v>44</v>
      </c>
      <c r="B543" s="43" t="s">
        <v>381</v>
      </c>
    </row>
    <row r="544" spans="1:2" ht="13">
      <c r="A544" s="41">
        <v>45</v>
      </c>
      <c r="B544" s="43" t="s">
        <v>480</v>
      </c>
    </row>
    <row r="545" spans="1:2" ht="13">
      <c r="A545" s="41">
        <v>46</v>
      </c>
      <c r="B545" s="43" t="s">
        <v>383</v>
      </c>
    </row>
    <row r="546" spans="1:2" ht="13">
      <c r="A546" s="41">
        <v>47</v>
      </c>
      <c r="B546" s="43" t="s">
        <v>384</v>
      </c>
    </row>
    <row r="547" spans="1:2" ht="13">
      <c r="A547" s="41">
        <v>48</v>
      </c>
      <c r="B547" s="43" t="s">
        <v>385</v>
      </c>
    </row>
    <row r="548" spans="1:2" ht="13">
      <c r="A548" s="41">
        <v>49</v>
      </c>
      <c r="B548" s="43" t="s">
        <v>237</v>
      </c>
    </row>
    <row r="549" spans="1:2" ht="13">
      <c r="A549" s="41">
        <v>50</v>
      </c>
      <c r="B549" s="42" t="s">
        <v>386</v>
      </c>
    </row>
    <row r="550" spans="1:2" ht="13">
      <c r="A550" s="41">
        <v>51</v>
      </c>
      <c r="B550" s="43" t="s">
        <v>318</v>
      </c>
    </row>
    <row r="551" spans="1:2" ht="13">
      <c r="A551" s="41">
        <v>52</v>
      </c>
      <c r="B551" s="43" t="s">
        <v>237</v>
      </c>
    </row>
    <row r="552" spans="1:2" ht="13">
      <c r="A552" s="41">
        <v>53</v>
      </c>
      <c r="B552" s="42" t="s">
        <v>305</v>
      </c>
    </row>
    <row r="553" spans="1:2" ht="13">
      <c r="A553" s="41">
        <v>54</v>
      </c>
      <c r="B553" s="43" t="s">
        <v>307</v>
      </c>
    </row>
    <row r="554" spans="1:2" ht="13">
      <c r="A554" s="41">
        <v>55</v>
      </c>
      <c r="B554" s="43" t="s">
        <v>308</v>
      </c>
    </row>
    <row r="555" spans="1:2" ht="13">
      <c r="A555" s="41">
        <v>56</v>
      </c>
      <c r="B555" s="43" t="s">
        <v>237</v>
      </c>
    </row>
    <row r="556" spans="1:2" ht="13">
      <c r="A556" s="41">
        <v>57</v>
      </c>
      <c r="B556" s="43" t="s">
        <v>387</v>
      </c>
    </row>
    <row r="557" spans="1:2" ht="13">
      <c r="A557" s="41">
        <v>58</v>
      </c>
      <c r="B557" s="43" t="s">
        <v>388</v>
      </c>
    </row>
    <row r="558" spans="1:2" ht="13">
      <c r="A558" s="41">
        <v>59</v>
      </c>
      <c r="B558" s="43" t="s">
        <v>389</v>
      </c>
    </row>
    <row r="559" spans="1:2" ht="13">
      <c r="A559" s="41">
        <v>60</v>
      </c>
      <c r="B559" s="43" t="s">
        <v>390</v>
      </c>
    </row>
    <row r="560" spans="1:2" ht="13">
      <c r="A560" s="41">
        <v>61</v>
      </c>
      <c r="B560" s="43" t="s">
        <v>391</v>
      </c>
    </row>
    <row r="561" spans="1:2" ht="13">
      <c r="A561" s="41">
        <v>62</v>
      </c>
      <c r="B561" s="43" t="s">
        <v>392</v>
      </c>
    </row>
    <row r="562" spans="1:2" ht="13">
      <c r="A562" s="41">
        <v>63</v>
      </c>
      <c r="B562" s="43" t="s">
        <v>393</v>
      </c>
    </row>
    <row r="563" spans="1:2" ht="13">
      <c r="A563" s="41">
        <v>64</v>
      </c>
      <c r="B563" s="43" t="s">
        <v>394</v>
      </c>
    </row>
    <row r="564" spans="1:2" ht="13">
      <c r="A564" s="41">
        <v>65</v>
      </c>
      <c r="B564" s="43" t="s">
        <v>395</v>
      </c>
    </row>
    <row r="565" spans="1:2" ht="13">
      <c r="A565" s="41">
        <v>66</v>
      </c>
      <c r="B565" s="43" t="s">
        <v>396</v>
      </c>
    </row>
    <row r="566" spans="1:2" ht="13">
      <c r="A566" s="41">
        <v>67</v>
      </c>
      <c r="B566" s="43" t="s">
        <v>397</v>
      </c>
    </row>
    <row r="567" spans="1:2" ht="13">
      <c r="A567" s="41">
        <v>68</v>
      </c>
      <c r="B567" s="43" t="s">
        <v>398</v>
      </c>
    </row>
    <row r="569" spans="1:2" ht="21.75" customHeight="1">
      <c r="A569" s="204" t="s">
        <v>481</v>
      </c>
      <c r="B569" s="204"/>
    </row>
    <row r="570" spans="1:2" ht="13">
      <c r="A570" s="41">
        <v>1</v>
      </c>
      <c r="B570" s="42" t="s">
        <v>231</v>
      </c>
    </row>
    <row r="571" spans="1:2" ht="13">
      <c r="A571" s="41">
        <v>2</v>
      </c>
      <c r="B571" s="42" t="s">
        <v>482</v>
      </c>
    </row>
    <row r="572" spans="1:2" ht="13">
      <c r="A572" s="41">
        <v>3</v>
      </c>
      <c r="B572" s="42" t="s">
        <v>231</v>
      </c>
    </row>
    <row r="573" spans="1:2" ht="13">
      <c r="A573" s="41">
        <v>4</v>
      </c>
      <c r="B573" s="43" t="s">
        <v>233</v>
      </c>
    </row>
    <row r="574" spans="1:2" ht="13">
      <c r="A574" s="41">
        <v>5</v>
      </c>
      <c r="B574" s="43" t="s">
        <v>234</v>
      </c>
    </row>
    <row r="575" spans="1:2" ht="13">
      <c r="A575" s="41">
        <v>6</v>
      </c>
      <c r="B575" s="43" t="s">
        <v>237</v>
      </c>
    </row>
    <row r="576" spans="1:2" ht="13">
      <c r="A576" s="41">
        <v>7</v>
      </c>
      <c r="B576" s="42" t="s">
        <v>351</v>
      </c>
    </row>
    <row r="577" spans="1:2" ht="13">
      <c r="A577" s="41">
        <v>8</v>
      </c>
      <c r="B577" s="43" t="s">
        <v>401</v>
      </c>
    </row>
    <row r="578" spans="1:2" ht="13">
      <c r="A578" s="41">
        <v>9</v>
      </c>
      <c r="B578" s="43" t="s">
        <v>483</v>
      </c>
    </row>
    <row r="579" spans="1:2" ht="13">
      <c r="A579" s="41">
        <v>10</v>
      </c>
      <c r="B579" s="43" t="s">
        <v>484</v>
      </c>
    </row>
    <row r="580" spans="1:2" ht="13">
      <c r="A580" s="41">
        <v>11</v>
      </c>
      <c r="B580" s="43" t="s">
        <v>237</v>
      </c>
    </row>
    <row r="581" spans="1:2" ht="13">
      <c r="A581" s="41">
        <v>12</v>
      </c>
      <c r="B581" s="43" t="s">
        <v>355</v>
      </c>
    </row>
    <row r="582" spans="1:2" ht="13">
      <c r="A582" s="41">
        <v>13</v>
      </c>
      <c r="B582" s="43" t="s">
        <v>485</v>
      </c>
    </row>
    <row r="583" spans="1:2" ht="13">
      <c r="A583" s="41">
        <v>14</v>
      </c>
      <c r="B583" s="43" t="s">
        <v>486</v>
      </c>
    </row>
    <row r="584" spans="1:2" ht="13">
      <c r="A584" s="41">
        <v>15</v>
      </c>
      <c r="B584" s="43" t="s">
        <v>487</v>
      </c>
    </row>
    <row r="585" spans="1:2" ht="13">
      <c r="A585" s="41">
        <v>16</v>
      </c>
      <c r="B585" s="43" t="s">
        <v>360</v>
      </c>
    </row>
    <row r="586" spans="1:2" ht="13">
      <c r="A586" s="41">
        <v>17</v>
      </c>
      <c r="B586" s="43" t="s">
        <v>237</v>
      </c>
    </row>
    <row r="587" spans="1:2" ht="13">
      <c r="A587" s="41">
        <v>18</v>
      </c>
      <c r="B587" s="43" t="s">
        <v>407</v>
      </c>
    </row>
    <row r="588" spans="1:2" ht="13">
      <c r="A588" s="41">
        <v>19</v>
      </c>
      <c r="B588" s="43" t="s">
        <v>408</v>
      </c>
    </row>
    <row r="589" spans="1:2" ht="13">
      <c r="A589" s="41">
        <v>20</v>
      </c>
      <c r="B589" s="43" t="s">
        <v>488</v>
      </c>
    </row>
    <row r="590" spans="1:2" ht="13">
      <c r="A590" s="41">
        <v>21</v>
      </c>
      <c r="B590" s="43" t="s">
        <v>489</v>
      </c>
    </row>
    <row r="591" spans="1:2" ht="13">
      <c r="A591" s="41">
        <v>22</v>
      </c>
      <c r="B591" s="43" t="s">
        <v>490</v>
      </c>
    </row>
    <row r="592" spans="1:2" ht="13">
      <c r="A592" s="41">
        <v>23</v>
      </c>
      <c r="B592" s="43" t="s">
        <v>237</v>
      </c>
    </row>
    <row r="593" spans="1:2" ht="13">
      <c r="A593" s="41">
        <v>24</v>
      </c>
      <c r="B593" s="42" t="s">
        <v>366</v>
      </c>
    </row>
    <row r="594" spans="1:2" ht="13">
      <c r="A594" s="41">
        <v>25</v>
      </c>
      <c r="B594" s="43" t="s">
        <v>367</v>
      </c>
    </row>
    <row r="595" spans="1:2" ht="13">
      <c r="A595" s="41">
        <v>26</v>
      </c>
      <c r="B595" s="43" t="s">
        <v>237</v>
      </c>
    </row>
    <row r="596" spans="1:2" ht="13">
      <c r="A596" s="41">
        <v>27</v>
      </c>
      <c r="B596" s="42" t="s">
        <v>368</v>
      </c>
    </row>
    <row r="597" spans="1:2" ht="13">
      <c r="A597" s="41">
        <v>28</v>
      </c>
      <c r="B597" s="43" t="s">
        <v>369</v>
      </c>
    </row>
    <row r="598" spans="1:2" ht="13">
      <c r="A598" s="41">
        <v>29</v>
      </c>
      <c r="B598" s="43" t="s">
        <v>370</v>
      </c>
    </row>
    <row r="599" spans="1:2" ht="13">
      <c r="A599" s="41">
        <v>30</v>
      </c>
      <c r="B599" s="43" t="s">
        <v>371</v>
      </c>
    </row>
    <row r="600" spans="1:2" ht="13">
      <c r="A600" s="41">
        <v>31</v>
      </c>
      <c r="B600" s="43" t="s">
        <v>237</v>
      </c>
    </row>
    <row r="601" spans="1:2" ht="13">
      <c r="A601" s="41">
        <v>32</v>
      </c>
      <c r="B601" s="42" t="s">
        <v>372</v>
      </c>
    </row>
    <row r="602" spans="1:2" ht="13">
      <c r="A602" s="41">
        <v>33</v>
      </c>
      <c r="B602" s="43" t="s">
        <v>373</v>
      </c>
    </row>
    <row r="603" spans="1:2" ht="13">
      <c r="A603" s="41">
        <v>34</v>
      </c>
      <c r="B603" s="43" t="s">
        <v>374</v>
      </c>
    </row>
    <row r="604" spans="1:2" ht="13">
      <c r="A604" s="41">
        <v>35</v>
      </c>
      <c r="B604" s="43" t="s">
        <v>375</v>
      </c>
    </row>
    <row r="605" spans="1:2" ht="13">
      <c r="A605" s="41">
        <v>36</v>
      </c>
      <c r="B605" s="43" t="s">
        <v>376</v>
      </c>
    </row>
    <row r="606" spans="1:2" ht="13">
      <c r="A606" s="41">
        <v>37</v>
      </c>
      <c r="B606" s="43" t="s">
        <v>237</v>
      </c>
    </row>
    <row r="607" spans="1:2" ht="13">
      <c r="A607" s="41">
        <v>38</v>
      </c>
      <c r="B607" s="42" t="s">
        <v>309</v>
      </c>
    </row>
    <row r="608" spans="1:2" ht="13">
      <c r="A608" s="41">
        <v>39</v>
      </c>
      <c r="B608" s="43" t="s">
        <v>377</v>
      </c>
    </row>
    <row r="609" spans="1:2" ht="13">
      <c r="A609" s="41">
        <v>40</v>
      </c>
      <c r="B609" s="43" t="s">
        <v>378</v>
      </c>
    </row>
    <row r="610" spans="1:2" ht="13">
      <c r="A610" s="41">
        <v>41</v>
      </c>
      <c r="B610" s="43" t="s">
        <v>237</v>
      </c>
    </row>
    <row r="611" spans="1:2" ht="13">
      <c r="A611" s="41">
        <v>42</v>
      </c>
      <c r="B611" s="43" t="s">
        <v>379</v>
      </c>
    </row>
    <row r="612" spans="1:2" ht="13">
      <c r="A612" s="41">
        <v>43</v>
      </c>
      <c r="B612" s="43" t="s">
        <v>380</v>
      </c>
    </row>
    <row r="613" spans="1:2" ht="13">
      <c r="A613" s="41">
        <v>44</v>
      </c>
      <c r="B613" s="43" t="s">
        <v>381</v>
      </c>
    </row>
    <row r="614" spans="1:2" ht="13">
      <c r="A614" s="41">
        <v>45</v>
      </c>
      <c r="B614" s="43" t="s">
        <v>491</v>
      </c>
    </row>
    <row r="615" spans="1:2" ht="13">
      <c r="A615" s="41">
        <v>46</v>
      </c>
      <c r="B615" s="43" t="s">
        <v>383</v>
      </c>
    </row>
    <row r="616" spans="1:2" ht="13">
      <c r="A616" s="41">
        <v>47</v>
      </c>
      <c r="B616" s="43" t="s">
        <v>384</v>
      </c>
    </row>
    <row r="617" spans="1:2" ht="13">
      <c r="A617" s="41">
        <v>48</v>
      </c>
      <c r="B617" s="43" t="s">
        <v>385</v>
      </c>
    </row>
    <row r="618" spans="1:2" ht="13">
      <c r="A618" s="41">
        <v>49</v>
      </c>
      <c r="B618" s="43" t="s">
        <v>237</v>
      </c>
    </row>
    <row r="619" spans="1:2" ht="13">
      <c r="A619" s="41">
        <v>50</v>
      </c>
      <c r="B619" s="42" t="s">
        <v>386</v>
      </c>
    </row>
    <row r="620" spans="1:2" ht="13">
      <c r="A620" s="41">
        <v>51</v>
      </c>
      <c r="B620" s="43" t="s">
        <v>318</v>
      </c>
    </row>
    <row r="621" spans="1:2" ht="13">
      <c r="A621" s="41">
        <v>52</v>
      </c>
      <c r="B621" s="43" t="s">
        <v>237</v>
      </c>
    </row>
    <row r="622" spans="1:2" ht="13">
      <c r="A622" s="41">
        <v>53</v>
      </c>
      <c r="B622" s="42" t="s">
        <v>305</v>
      </c>
    </row>
    <row r="623" spans="1:2" ht="13">
      <c r="A623" s="41">
        <v>54</v>
      </c>
      <c r="B623" s="43" t="s">
        <v>307</v>
      </c>
    </row>
    <row r="624" spans="1:2" ht="13">
      <c r="A624" s="41">
        <v>55</v>
      </c>
      <c r="B624" s="43" t="s">
        <v>308</v>
      </c>
    </row>
    <row r="625" spans="1:2" ht="13">
      <c r="A625" s="41">
        <v>56</v>
      </c>
      <c r="B625" s="43" t="s">
        <v>237</v>
      </c>
    </row>
    <row r="626" spans="1:2" ht="13">
      <c r="A626" s="41">
        <v>57</v>
      </c>
      <c r="B626" s="43" t="s">
        <v>387</v>
      </c>
    </row>
    <row r="627" spans="1:2" ht="13">
      <c r="A627" s="41">
        <v>58</v>
      </c>
      <c r="B627" s="43" t="s">
        <v>388</v>
      </c>
    </row>
    <row r="628" spans="1:2" ht="13">
      <c r="A628" s="41">
        <v>59</v>
      </c>
      <c r="B628" s="43" t="s">
        <v>389</v>
      </c>
    </row>
    <row r="629" spans="1:2" ht="13">
      <c r="A629" s="41">
        <v>60</v>
      </c>
      <c r="B629" s="43" t="s">
        <v>390</v>
      </c>
    </row>
    <row r="630" spans="1:2" ht="13">
      <c r="A630" s="41">
        <v>61</v>
      </c>
      <c r="B630" s="43" t="s">
        <v>391</v>
      </c>
    </row>
    <row r="631" spans="1:2" ht="13">
      <c r="A631" s="41">
        <v>62</v>
      </c>
      <c r="B631" s="43" t="s">
        <v>392</v>
      </c>
    </row>
    <row r="632" spans="1:2" ht="13">
      <c r="A632" s="41">
        <v>63</v>
      </c>
      <c r="B632" s="43" t="s">
        <v>393</v>
      </c>
    </row>
    <row r="633" spans="1:2" ht="13">
      <c r="A633" s="41">
        <v>64</v>
      </c>
      <c r="B633" s="43" t="s">
        <v>394</v>
      </c>
    </row>
    <row r="634" spans="1:2" ht="13">
      <c r="A634" s="41">
        <v>65</v>
      </c>
      <c r="B634" s="43" t="s">
        <v>395</v>
      </c>
    </row>
    <row r="635" spans="1:2" ht="13">
      <c r="A635" s="41">
        <v>66</v>
      </c>
      <c r="B635" s="43" t="s">
        <v>396</v>
      </c>
    </row>
    <row r="636" spans="1:2" ht="13">
      <c r="A636" s="41">
        <v>67</v>
      </c>
      <c r="B636" s="43" t="s">
        <v>397</v>
      </c>
    </row>
    <row r="637" spans="1:2" ht="13">
      <c r="A637" s="41">
        <v>68</v>
      </c>
      <c r="B637" s="43" t="s">
        <v>398</v>
      </c>
    </row>
    <row r="639" spans="1:2" ht="21.75" customHeight="1">
      <c r="A639" s="204" t="s">
        <v>492</v>
      </c>
      <c r="B639" s="204"/>
    </row>
    <row r="640" spans="1:2" ht="13">
      <c r="A640" s="41">
        <v>1</v>
      </c>
      <c r="B640" s="42" t="s">
        <v>231</v>
      </c>
    </row>
    <row r="641" spans="1:2" ht="13">
      <c r="A641" s="41">
        <v>2</v>
      </c>
      <c r="B641" s="42" t="s">
        <v>493</v>
      </c>
    </row>
    <row r="642" spans="1:2" ht="13">
      <c r="A642" s="41">
        <v>3</v>
      </c>
      <c r="B642" s="42" t="s">
        <v>231</v>
      </c>
    </row>
    <row r="643" spans="1:2" ht="13">
      <c r="A643" s="41">
        <v>4</v>
      </c>
      <c r="B643" s="43" t="s">
        <v>233</v>
      </c>
    </row>
    <row r="644" spans="1:2" ht="13">
      <c r="A644" s="41">
        <v>5</v>
      </c>
      <c r="B644" s="43" t="s">
        <v>234</v>
      </c>
    </row>
    <row r="645" spans="1:2" ht="13">
      <c r="A645" s="41">
        <v>6</v>
      </c>
      <c r="B645" s="43" t="s">
        <v>237</v>
      </c>
    </row>
    <row r="646" spans="1:2" ht="13">
      <c r="A646" s="41">
        <v>7</v>
      </c>
      <c r="B646" s="42" t="s">
        <v>351</v>
      </c>
    </row>
    <row r="647" spans="1:2" ht="13">
      <c r="A647" s="41">
        <v>8</v>
      </c>
      <c r="B647" s="43" t="s">
        <v>401</v>
      </c>
    </row>
    <row r="648" spans="1:2" ht="13">
      <c r="A648" s="41">
        <v>9</v>
      </c>
      <c r="B648" s="43" t="s">
        <v>494</v>
      </c>
    </row>
    <row r="649" spans="1:2" ht="13">
      <c r="A649" s="41">
        <v>10</v>
      </c>
      <c r="B649" s="43" t="s">
        <v>495</v>
      </c>
    </row>
    <row r="650" spans="1:2" ht="13">
      <c r="A650" s="41">
        <v>11</v>
      </c>
      <c r="B650" s="43" t="s">
        <v>237</v>
      </c>
    </row>
    <row r="651" spans="1:2" ht="13">
      <c r="A651" s="41">
        <v>12</v>
      </c>
      <c r="B651" s="43" t="s">
        <v>355</v>
      </c>
    </row>
    <row r="652" spans="1:2" ht="13">
      <c r="A652" s="41">
        <v>13</v>
      </c>
      <c r="B652" s="43" t="s">
        <v>496</v>
      </c>
    </row>
    <row r="653" spans="1:2" ht="13">
      <c r="A653" s="41">
        <v>14</v>
      </c>
      <c r="B653" s="43" t="s">
        <v>497</v>
      </c>
    </row>
    <row r="654" spans="1:2" ht="13">
      <c r="A654" s="41">
        <v>15</v>
      </c>
      <c r="B654" s="43" t="s">
        <v>498</v>
      </c>
    </row>
    <row r="655" spans="1:2" ht="13">
      <c r="A655" s="41">
        <v>16</v>
      </c>
      <c r="B655" s="43" t="s">
        <v>360</v>
      </c>
    </row>
    <row r="656" spans="1:2" ht="13">
      <c r="A656" s="41">
        <v>17</v>
      </c>
      <c r="B656" s="43" t="s">
        <v>237</v>
      </c>
    </row>
    <row r="657" spans="1:2" ht="13">
      <c r="A657" s="41">
        <v>18</v>
      </c>
      <c r="B657" s="43" t="s">
        <v>407</v>
      </c>
    </row>
    <row r="658" spans="1:2" ht="13">
      <c r="A658" s="41">
        <v>19</v>
      </c>
      <c r="B658" s="43" t="s">
        <v>408</v>
      </c>
    </row>
    <row r="659" spans="1:2" ht="13">
      <c r="A659" s="41">
        <v>20</v>
      </c>
      <c r="B659" s="43" t="s">
        <v>499</v>
      </c>
    </row>
    <row r="660" spans="1:2" ht="13">
      <c r="A660" s="41">
        <v>21</v>
      </c>
      <c r="B660" s="43" t="s">
        <v>467</v>
      </c>
    </row>
    <row r="661" spans="1:2" ht="13">
      <c r="A661" s="41">
        <v>22</v>
      </c>
      <c r="B661" s="43" t="s">
        <v>500</v>
      </c>
    </row>
    <row r="662" spans="1:2" ht="13">
      <c r="A662" s="41">
        <v>23</v>
      </c>
      <c r="B662" s="43" t="s">
        <v>237</v>
      </c>
    </row>
    <row r="663" spans="1:2" ht="13">
      <c r="A663" s="41">
        <v>24</v>
      </c>
      <c r="B663" s="42" t="s">
        <v>366</v>
      </c>
    </row>
    <row r="664" spans="1:2" ht="13">
      <c r="A664" s="41">
        <v>25</v>
      </c>
      <c r="B664" s="43" t="s">
        <v>367</v>
      </c>
    </row>
    <row r="665" spans="1:2" ht="13">
      <c r="A665" s="41">
        <v>26</v>
      </c>
      <c r="B665" s="43" t="s">
        <v>237</v>
      </c>
    </row>
    <row r="666" spans="1:2" ht="13">
      <c r="A666" s="41">
        <v>27</v>
      </c>
      <c r="B666" s="42" t="s">
        <v>368</v>
      </c>
    </row>
    <row r="667" spans="1:2" ht="13">
      <c r="A667" s="41">
        <v>28</v>
      </c>
      <c r="B667" s="43" t="s">
        <v>369</v>
      </c>
    </row>
    <row r="668" spans="1:2" ht="13">
      <c r="A668" s="41">
        <v>29</v>
      </c>
      <c r="B668" s="43" t="s">
        <v>370</v>
      </c>
    </row>
    <row r="669" spans="1:2" ht="13">
      <c r="A669" s="41">
        <v>30</v>
      </c>
      <c r="B669" s="43" t="s">
        <v>371</v>
      </c>
    </row>
    <row r="670" spans="1:2" ht="13">
      <c r="A670" s="41">
        <v>31</v>
      </c>
      <c r="B670" s="43" t="s">
        <v>237</v>
      </c>
    </row>
    <row r="671" spans="1:2" ht="13">
      <c r="A671" s="41">
        <v>32</v>
      </c>
      <c r="B671" s="42" t="s">
        <v>372</v>
      </c>
    </row>
    <row r="672" spans="1:2" ht="13">
      <c r="A672" s="41">
        <v>33</v>
      </c>
      <c r="B672" s="43" t="s">
        <v>373</v>
      </c>
    </row>
    <row r="673" spans="1:2" ht="13">
      <c r="A673" s="41">
        <v>34</v>
      </c>
      <c r="B673" s="43" t="s">
        <v>374</v>
      </c>
    </row>
    <row r="674" spans="1:2" ht="13">
      <c r="A674" s="41">
        <v>35</v>
      </c>
      <c r="B674" s="43" t="s">
        <v>375</v>
      </c>
    </row>
    <row r="675" spans="1:2" ht="13">
      <c r="A675" s="41">
        <v>36</v>
      </c>
      <c r="B675" s="43" t="s">
        <v>376</v>
      </c>
    </row>
    <row r="676" spans="1:2" ht="13">
      <c r="A676" s="41">
        <v>37</v>
      </c>
      <c r="B676" s="43" t="s">
        <v>237</v>
      </c>
    </row>
    <row r="677" spans="1:2" ht="13">
      <c r="A677" s="41">
        <v>38</v>
      </c>
      <c r="B677" s="42" t="s">
        <v>309</v>
      </c>
    </row>
    <row r="678" spans="1:2" ht="13">
      <c r="A678" s="41">
        <v>39</v>
      </c>
      <c r="B678" s="43" t="s">
        <v>377</v>
      </c>
    </row>
    <row r="679" spans="1:2" ht="13">
      <c r="A679" s="41">
        <v>40</v>
      </c>
      <c r="B679" s="43" t="s">
        <v>378</v>
      </c>
    </row>
    <row r="680" spans="1:2" ht="13">
      <c r="A680" s="41">
        <v>41</v>
      </c>
      <c r="B680" s="43" t="s">
        <v>237</v>
      </c>
    </row>
    <row r="681" spans="1:2" ht="13">
      <c r="A681" s="41">
        <v>42</v>
      </c>
      <c r="B681" s="43" t="s">
        <v>379</v>
      </c>
    </row>
    <row r="682" spans="1:2" ht="13">
      <c r="A682" s="41">
        <v>43</v>
      </c>
      <c r="B682" s="43" t="s">
        <v>380</v>
      </c>
    </row>
    <row r="683" spans="1:2" ht="13">
      <c r="A683" s="41">
        <v>44</v>
      </c>
      <c r="B683" s="43" t="s">
        <v>381</v>
      </c>
    </row>
    <row r="684" spans="1:2" ht="13">
      <c r="A684" s="41">
        <v>45</v>
      </c>
      <c r="B684" s="43" t="s">
        <v>501</v>
      </c>
    </row>
    <row r="685" spans="1:2" ht="13">
      <c r="A685" s="41">
        <v>46</v>
      </c>
      <c r="B685" s="43" t="s">
        <v>383</v>
      </c>
    </row>
    <row r="686" spans="1:2" ht="13">
      <c r="A686" s="41">
        <v>47</v>
      </c>
      <c r="B686" s="43" t="s">
        <v>384</v>
      </c>
    </row>
    <row r="687" spans="1:2" ht="13">
      <c r="A687" s="41">
        <v>48</v>
      </c>
      <c r="B687" s="43" t="s">
        <v>385</v>
      </c>
    </row>
    <row r="688" spans="1:2" ht="13">
      <c r="A688" s="41">
        <v>49</v>
      </c>
      <c r="B688" s="43" t="s">
        <v>237</v>
      </c>
    </row>
    <row r="689" spans="1:2" ht="13">
      <c r="A689" s="41">
        <v>50</v>
      </c>
      <c r="B689" s="42" t="s">
        <v>386</v>
      </c>
    </row>
    <row r="690" spans="1:2" ht="13">
      <c r="A690" s="41">
        <v>51</v>
      </c>
      <c r="B690" s="43" t="s">
        <v>318</v>
      </c>
    </row>
    <row r="691" spans="1:2" ht="13">
      <c r="A691" s="41">
        <v>52</v>
      </c>
      <c r="B691" s="43" t="s">
        <v>237</v>
      </c>
    </row>
    <row r="692" spans="1:2" ht="13">
      <c r="A692" s="41">
        <v>53</v>
      </c>
      <c r="B692" s="42" t="s">
        <v>305</v>
      </c>
    </row>
    <row r="693" spans="1:2" ht="13">
      <c r="A693" s="41">
        <v>54</v>
      </c>
      <c r="B693" s="43" t="s">
        <v>307</v>
      </c>
    </row>
    <row r="694" spans="1:2" ht="13">
      <c r="A694" s="41">
        <v>55</v>
      </c>
      <c r="B694" s="43" t="s">
        <v>308</v>
      </c>
    </row>
    <row r="695" spans="1:2" ht="13">
      <c r="A695" s="41">
        <v>56</v>
      </c>
      <c r="B695" s="43" t="s">
        <v>237</v>
      </c>
    </row>
    <row r="696" spans="1:2" ht="13">
      <c r="A696" s="41">
        <v>57</v>
      </c>
      <c r="B696" s="43" t="s">
        <v>387</v>
      </c>
    </row>
    <row r="697" spans="1:2" ht="13">
      <c r="A697" s="41">
        <v>58</v>
      </c>
      <c r="B697" s="43" t="s">
        <v>388</v>
      </c>
    </row>
    <row r="698" spans="1:2" ht="13">
      <c r="A698" s="41">
        <v>59</v>
      </c>
      <c r="B698" s="43" t="s">
        <v>389</v>
      </c>
    </row>
    <row r="699" spans="1:2" ht="13">
      <c r="A699" s="41">
        <v>60</v>
      </c>
      <c r="B699" s="43" t="s">
        <v>390</v>
      </c>
    </row>
    <row r="700" spans="1:2" ht="13">
      <c r="A700" s="41">
        <v>61</v>
      </c>
      <c r="B700" s="43" t="s">
        <v>391</v>
      </c>
    </row>
    <row r="701" spans="1:2" ht="13">
      <c r="A701" s="41">
        <v>62</v>
      </c>
      <c r="B701" s="43" t="s">
        <v>392</v>
      </c>
    </row>
    <row r="702" spans="1:2" ht="13">
      <c r="A702" s="41">
        <v>63</v>
      </c>
      <c r="B702" s="43" t="s">
        <v>393</v>
      </c>
    </row>
    <row r="703" spans="1:2" ht="13">
      <c r="A703" s="41">
        <v>64</v>
      </c>
      <c r="B703" s="43" t="s">
        <v>394</v>
      </c>
    </row>
    <row r="704" spans="1:2" ht="13">
      <c r="A704" s="41">
        <v>65</v>
      </c>
      <c r="B704" s="43" t="s">
        <v>395</v>
      </c>
    </row>
    <row r="705" spans="1:2" ht="13">
      <c r="A705" s="41">
        <v>66</v>
      </c>
      <c r="B705" s="43" t="s">
        <v>396</v>
      </c>
    </row>
    <row r="706" spans="1:2" ht="13">
      <c r="A706" s="41">
        <v>67</v>
      </c>
      <c r="B706" s="43" t="s">
        <v>397</v>
      </c>
    </row>
    <row r="707" spans="1:2" ht="13">
      <c r="A707" s="41">
        <v>68</v>
      </c>
      <c r="B707" s="43" t="s">
        <v>398</v>
      </c>
    </row>
    <row r="709" spans="1:2" ht="21.75" customHeight="1">
      <c r="A709" s="204" t="s">
        <v>502</v>
      </c>
      <c r="B709" s="204"/>
    </row>
    <row r="710" spans="1:2" ht="13">
      <c r="A710" s="41">
        <v>1</v>
      </c>
      <c r="B710" s="42" t="s">
        <v>231</v>
      </c>
    </row>
    <row r="711" spans="1:2" ht="13">
      <c r="A711" s="41">
        <v>2</v>
      </c>
      <c r="B711" s="42" t="s">
        <v>503</v>
      </c>
    </row>
    <row r="712" spans="1:2" ht="13">
      <c r="A712" s="41">
        <v>3</v>
      </c>
      <c r="B712" s="42" t="s">
        <v>231</v>
      </c>
    </row>
    <row r="713" spans="1:2" ht="13">
      <c r="A713" s="41">
        <v>4</v>
      </c>
      <c r="B713" s="43" t="s">
        <v>233</v>
      </c>
    </row>
    <row r="714" spans="1:2" ht="13">
      <c r="A714" s="41">
        <v>5</v>
      </c>
      <c r="B714" s="43" t="s">
        <v>234</v>
      </c>
    </row>
    <row r="715" spans="1:2" ht="13">
      <c r="A715" s="41">
        <v>6</v>
      </c>
      <c r="B715" s="43" t="s">
        <v>237</v>
      </c>
    </row>
    <row r="716" spans="1:2" ht="13">
      <c r="A716" s="41">
        <v>7</v>
      </c>
      <c r="B716" s="42" t="s">
        <v>351</v>
      </c>
    </row>
    <row r="717" spans="1:2" ht="13">
      <c r="A717" s="41">
        <v>8</v>
      </c>
      <c r="B717" s="43" t="s">
        <v>401</v>
      </c>
    </row>
    <row r="718" spans="1:2" ht="13">
      <c r="A718" s="41">
        <v>9</v>
      </c>
      <c r="B718" s="43" t="s">
        <v>504</v>
      </c>
    </row>
    <row r="719" spans="1:2" ht="13">
      <c r="A719" s="41">
        <v>10</v>
      </c>
      <c r="B719" s="43" t="s">
        <v>505</v>
      </c>
    </row>
    <row r="720" spans="1:2" ht="13">
      <c r="A720" s="41">
        <v>11</v>
      </c>
      <c r="B720" s="43" t="s">
        <v>237</v>
      </c>
    </row>
    <row r="721" spans="1:2" ht="13">
      <c r="A721" s="41">
        <v>12</v>
      </c>
      <c r="B721" s="43" t="s">
        <v>355</v>
      </c>
    </row>
    <row r="722" spans="1:2" ht="13">
      <c r="A722" s="41">
        <v>13</v>
      </c>
      <c r="B722" s="43" t="s">
        <v>506</v>
      </c>
    </row>
    <row r="723" spans="1:2" ht="13">
      <c r="A723" s="41">
        <v>14</v>
      </c>
      <c r="B723" s="43" t="s">
        <v>507</v>
      </c>
    </row>
    <row r="724" spans="1:2" ht="13">
      <c r="A724" s="41">
        <v>15</v>
      </c>
      <c r="B724" s="43" t="s">
        <v>508</v>
      </c>
    </row>
    <row r="725" spans="1:2" ht="13">
      <c r="A725" s="41">
        <v>16</v>
      </c>
      <c r="B725" s="43" t="s">
        <v>360</v>
      </c>
    </row>
    <row r="726" spans="1:2" ht="13">
      <c r="A726" s="41">
        <v>17</v>
      </c>
      <c r="B726" s="43" t="s">
        <v>237</v>
      </c>
    </row>
    <row r="727" spans="1:2" ht="13">
      <c r="A727" s="41">
        <v>18</v>
      </c>
      <c r="B727" s="43" t="s">
        <v>407</v>
      </c>
    </row>
    <row r="728" spans="1:2" ht="13">
      <c r="A728" s="41">
        <v>19</v>
      </c>
      <c r="B728" s="43" t="s">
        <v>408</v>
      </c>
    </row>
    <row r="729" spans="1:2" ht="13">
      <c r="A729" s="41">
        <v>20</v>
      </c>
      <c r="B729" s="43" t="s">
        <v>509</v>
      </c>
    </row>
    <row r="730" spans="1:2" ht="13">
      <c r="A730" s="41">
        <v>21</v>
      </c>
      <c r="B730" s="43" t="s">
        <v>510</v>
      </c>
    </row>
    <row r="731" spans="1:2" ht="13">
      <c r="A731" s="41">
        <v>22</v>
      </c>
      <c r="B731" s="43" t="s">
        <v>511</v>
      </c>
    </row>
    <row r="732" spans="1:2" ht="13">
      <c r="A732" s="41">
        <v>23</v>
      </c>
      <c r="B732" s="43" t="s">
        <v>237</v>
      </c>
    </row>
    <row r="733" spans="1:2" ht="13">
      <c r="A733" s="41">
        <v>24</v>
      </c>
      <c r="B733" s="42" t="s">
        <v>366</v>
      </c>
    </row>
    <row r="734" spans="1:2" ht="13">
      <c r="A734" s="41">
        <v>25</v>
      </c>
      <c r="B734" s="43" t="s">
        <v>367</v>
      </c>
    </row>
    <row r="735" spans="1:2" ht="13">
      <c r="A735" s="41">
        <v>26</v>
      </c>
      <c r="B735" s="43" t="s">
        <v>237</v>
      </c>
    </row>
    <row r="736" spans="1:2" ht="13">
      <c r="A736" s="41">
        <v>27</v>
      </c>
      <c r="B736" s="42" t="s">
        <v>368</v>
      </c>
    </row>
    <row r="737" spans="1:2" ht="13">
      <c r="A737" s="41">
        <v>28</v>
      </c>
      <c r="B737" s="43" t="s">
        <v>369</v>
      </c>
    </row>
    <row r="738" spans="1:2" ht="13">
      <c r="A738" s="41">
        <v>29</v>
      </c>
      <c r="B738" s="43" t="s">
        <v>370</v>
      </c>
    </row>
    <row r="739" spans="1:2" ht="13">
      <c r="A739" s="41">
        <v>30</v>
      </c>
      <c r="B739" s="43" t="s">
        <v>371</v>
      </c>
    </row>
    <row r="740" spans="1:2" ht="13">
      <c r="A740" s="41">
        <v>31</v>
      </c>
      <c r="B740" s="43" t="s">
        <v>237</v>
      </c>
    </row>
    <row r="741" spans="1:2" ht="13">
      <c r="A741" s="41">
        <v>32</v>
      </c>
      <c r="B741" s="42" t="s">
        <v>372</v>
      </c>
    </row>
    <row r="742" spans="1:2" ht="13">
      <c r="A742" s="41">
        <v>33</v>
      </c>
      <c r="B742" s="43" t="s">
        <v>373</v>
      </c>
    </row>
    <row r="743" spans="1:2" ht="13">
      <c r="A743" s="41">
        <v>34</v>
      </c>
      <c r="B743" s="43" t="s">
        <v>374</v>
      </c>
    </row>
    <row r="744" spans="1:2" ht="13">
      <c r="A744" s="41">
        <v>35</v>
      </c>
      <c r="B744" s="43" t="s">
        <v>375</v>
      </c>
    </row>
    <row r="745" spans="1:2" ht="13">
      <c r="A745" s="41">
        <v>36</v>
      </c>
      <c r="B745" s="43" t="s">
        <v>376</v>
      </c>
    </row>
    <row r="746" spans="1:2" ht="13">
      <c r="A746" s="41">
        <v>37</v>
      </c>
      <c r="B746" s="43" t="s">
        <v>237</v>
      </c>
    </row>
    <row r="747" spans="1:2" ht="13">
      <c r="A747" s="41">
        <v>38</v>
      </c>
      <c r="B747" s="42" t="s">
        <v>309</v>
      </c>
    </row>
    <row r="748" spans="1:2" ht="13">
      <c r="A748" s="41">
        <v>39</v>
      </c>
      <c r="B748" s="43" t="s">
        <v>377</v>
      </c>
    </row>
    <row r="749" spans="1:2" ht="13">
      <c r="A749" s="41">
        <v>40</v>
      </c>
      <c r="B749" s="43" t="s">
        <v>378</v>
      </c>
    </row>
    <row r="750" spans="1:2" ht="13">
      <c r="A750" s="41">
        <v>41</v>
      </c>
      <c r="B750" s="43" t="s">
        <v>237</v>
      </c>
    </row>
    <row r="751" spans="1:2" ht="13">
      <c r="A751" s="41">
        <v>42</v>
      </c>
      <c r="B751" s="43" t="s">
        <v>379</v>
      </c>
    </row>
    <row r="752" spans="1:2" ht="13">
      <c r="A752" s="41">
        <v>43</v>
      </c>
      <c r="B752" s="43" t="s">
        <v>380</v>
      </c>
    </row>
    <row r="753" spans="1:2" ht="13">
      <c r="A753" s="41">
        <v>44</v>
      </c>
      <c r="B753" s="43" t="s">
        <v>381</v>
      </c>
    </row>
    <row r="754" spans="1:2" ht="13">
      <c r="A754" s="41">
        <v>45</v>
      </c>
      <c r="B754" s="43" t="s">
        <v>512</v>
      </c>
    </row>
    <row r="755" spans="1:2" ht="13">
      <c r="A755" s="41">
        <v>46</v>
      </c>
      <c r="B755" s="43" t="s">
        <v>383</v>
      </c>
    </row>
    <row r="756" spans="1:2" ht="13">
      <c r="A756" s="41">
        <v>47</v>
      </c>
      <c r="B756" s="43" t="s">
        <v>384</v>
      </c>
    </row>
    <row r="757" spans="1:2" ht="13">
      <c r="A757" s="41">
        <v>48</v>
      </c>
      <c r="B757" s="43" t="s">
        <v>385</v>
      </c>
    </row>
    <row r="758" spans="1:2" ht="13">
      <c r="A758" s="41">
        <v>49</v>
      </c>
      <c r="B758" s="43" t="s">
        <v>237</v>
      </c>
    </row>
    <row r="759" spans="1:2" ht="13">
      <c r="A759" s="41">
        <v>50</v>
      </c>
      <c r="B759" s="42" t="s">
        <v>386</v>
      </c>
    </row>
    <row r="760" spans="1:2" ht="13">
      <c r="A760" s="41">
        <v>51</v>
      </c>
      <c r="B760" s="43" t="s">
        <v>318</v>
      </c>
    </row>
    <row r="761" spans="1:2" ht="13">
      <c r="A761" s="41">
        <v>52</v>
      </c>
      <c r="B761" s="43" t="s">
        <v>237</v>
      </c>
    </row>
    <row r="762" spans="1:2" ht="13">
      <c r="A762" s="41">
        <v>53</v>
      </c>
      <c r="B762" s="42" t="s">
        <v>305</v>
      </c>
    </row>
    <row r="763" spans="1:2" ht="13">
      <c r="A763" s="41">
        <v>54</v>
      </c>
      <c r="B763" s="43" t="s">
        <v>307</v>
      </c>
    </row>
    <row r="764" spans="1:2" ht="13">
      <c r="A764" s="41">
        <v>55</v>
      </c>
      <c r="B764" s="43" t="s">
        <v>308</v>
      </c>
    </row>
    <row r="765" spans="1:2" ht="13">
      <c r="A765" s="41">
        <v>56</v>
      </c>
      <c r="B765" s="43" t="s">
        <v>237</v>
      </c>
    </row>
    <row r="766" spans="1:2" ht="13">
      <c r="A766" s="41">
        <v>57</v>
      </c>
      <c r="B766" s="43" t="s">
        <v>387</v>
      </c>
    </row>
    <row r="767" spans="1:2" ht="13">
      <c r="A767" s="41">
        <v>58</v>
      </c>
      <c r="B767" s="43" t="s">
        <v>388</v>
      </c>
    </row>
    <row r="768" spans="1:2" ht="13">
      <c r="A768" s="41">
        <v>59</v>
      </c>
      <c r="B768" s="43" t="s">
        <v>389</v>
      </c>
    </row>
    <row r="769" spans="1:2" ht="13">
      <c r="A769" s="41">
        <v>60</v>
      </c>
      <c r="B769" s="43" t="s">
        <v>390</v>
      </c>
    </row>
    <row r="770" spans="1:2" ht="13">
      <c r="A770" s="41">
        <v>61</v>
      </c>
      <c r="B770" s="43" t="s">
        <v>391</v>
      </c>
    </row>
    <row r="771" spans="1:2" ht="13">
      <c r="A771" s="41">
        <v>62</v>
      </c>
      <c r="B771" s="43" t="s">
        <v>392</v>
      </c>
    </row>
    <row r="772" spans="1:2" ht="13">
      <c r="A772" s="41">
        <v>63</v>
      </c>
      <c r="B772" s="43" t="s">
        <v>393</v>
      </c>
    </row>
    <row r="773" spans="1:2" ht="13">
      <c r="A773" s="41">
        <v>64</v>
      </c>
      <c r="B773" s="43" t="s">
        <v>394</v>
      </c>
    </row>
    <row r="774" spans="1:2" ht="13">
      <c r="A774" s="41">
        <v>65</v>
      </c>
      <c r="B774" s="43" t="s">
        <v>395</v>
      </c>
    </row>
    <row r="775" spans="1:2" ht="13">
      <c r="A775" s="41">
        <v>66</v>
      </c>
      <c r="B775" s="43" t="s">
        <v>396</v>
      </c>
    </row>
    <row r="776" spans="1:2" ht="13">
      <c r="A776" s="41">
        <v>67</v>
      </c>
      <c r="B776" s="43" t="s">
        <v>397</v>
      </c>
    </row>
    <row r="777" spans="1:2" ht="13">
      <c r="A777" s="41">
        <v>68</v>
      </c>
      <c r="B777" s="43" t="s">
        <v>398</v>
      </c>
    </row>
    <row r="779" spans="1:2" ht="21.75" customHeight="1">
      <c r="A779" s="204" t="s">
        <v>513</v>
      </c>
      <c r="B779" s="204"/>
    </row>
    <row r="780" spans="1:2" ht="13">
      <c r="A780" s="41">
        <v>1</v>
      </c>
      <c r="B780" s="42" t="s">
        <v>231</v>
      </c>
    </row>
    <row r="781" spans="1:2" ht="13">
      <c r="A781" s="41">
        <v>2</v>
      </c>
      <c r="B781" s="42" t="s">
        <v>514</v>
      </c>
    </row>
    <row r="782" spans="1:2" ht="13">
      <c r="A782" s="41">
        <v>3</v>
      </c>
      <c r="B782" s="42" t="s">
        <v>231</v>
      </c>
    </row>
    <row r="783" spans="1:2" ht="13">
      <c r="A783" s="41">
        <v>4</v>
      </c>
      <c r="B783" s="43" t="s">
        <v>233</v>
      </c>
    </row>
    <row r="784" spans="1:2" ht="13">
      <c r="A784" s="41">
        <v>5</v>
      </c>
      <c r="B784" s="43" t="s">
        <v>234</v>
      </c>
    </row>
    <row r="785" spans="1:2" ht="13">
      <c r="A785" s="41">
        <v>6</v>
      </c>
      <c r="B785" s="43" t="s">
        <v>237</v>
      </c>
    </row>
    <row r="786" spans="1:2" ht="13">
      <c r="A786" s="41">
        <v>7</v>
      </c>
      <c r="B786" s="42" t="s">
        <v>351</v>
      </c>
    </row>
    <row r="787" spans="1:2" ht="13">
      <c r="A787" s="41">
        <v>8</v>
      </c>
      <c r="B787" s="43" t="s">
        <v>401</v>
      </c>
    </row>
    <row r="788" spans="1:2" ht="13">
      <c r="A788" s="41">
        <v>9</v>
      </c>
      <c r="B788" s="43" t="s">
        <v>515</v>
      </c>
    </row>
    <row r="789" spans="1:2" ht="13">
      <c r="A789" s="41">
        <v>10</v>
      </c>
      <c r="B789" s="43" t="s">
        <v>516</v>
      </c>
    </row>
    <row r="790" spans="1:2" ht="13">
      <c r="A790" s="41">
        <v>11</v>
      </c>
      <c r="B790" s="43" t="s">
        <v>237</v>
      </c>
    </row>
    <row r="791" spans="1:2" ht="13">
      <c r="A791" s="41">
        <v>12</v>
      </c>
      <c r="B791" s="43" t="s">
        <v>355</v>
      </c>
    </row>
    <row r="792" spans="1:2" ht="13">
      <c r="A792" s="41">
        <v>13</v>
      </c>
      <c r="B792" s="43" t="s">
        <v>517</v>
      </c>
    </row>
    <row r="793" spans="1:2" ht="13">
      <c r="A793" s="41">
        <v>14</v>
      </c>
      <c r="B793" s="43" t="s">
        <v>518</v>
      </c>
    </row>
    <row r="794" spans="1:2" ht="13">
      <c r="A794" s="41">
        <v>15</v>
      </c>
      <c r="B794" s="43" t="s">
        <v>519</v>
      </c>
    </row>
    <row r="795" spans="1:2" ht="13">
      <c r="A795" s="41">
        <v>16</v>
      </c>
      <c r="B795" s="43" t="s">
        <v>360</v>
      </c>
    </row>
    <row r="796" spans="1:2" ht="13">
      <c r="A796" s="41">
        <v>17</v>
      </c>
      <c r="B796" s="43" t="s">
        <v>237</v>
      </c>
    </row>
    <row r="797" spans="1:2" ht="13">
      <c r="A797" s="41">
        <v>18</v>
      </c>
      <c r="B797" s="43" t="s">
        <v>520</v>
      </c>
    </row>
    <row r="798" spans="1:2" ht="13">
      <c r="A798" s="41">
        <v>19</v>
      </c>
      <c r="B798" s="43" t="s">
        <v>408</v>
      </c>
    </row>
    <row r="799" spans="1:2" ht="13">
      <c r="A799" s="41">
        <v>20</v>
      </c>
      <c r="B799" s="43" t="s">
        <v>521</v>
      </c>
    </row>
    <row r="800" spans="1:2" ht="13">
      <c r="A800" s="41">
        <v>21</v>
      </c>
      <c r="B800" s="43" t="s">
        <v>522</v>
      </c>
    </row>
    <row r="801" spans="1:2" ht="13">
      <c r="A801" s="41">
        <v>22</v>
      </c>
      <c r="B801" s="43" t="s">
        <v>523</v>
      </c>
    </row>
    <row r="802" spans="1:2" ht="13">
      <c r="A802" s="41">
        <v>23</v>
      </c>
      <c r="B802" s="43" t="s">
        <v>237</v>
      </c>
    </row>
    <row r="803" spans="1:2" ht="13">
      <c r="A803" s="41">
        <v>24</v>
      </c>
      <c r="B803" s="42" t="s">
        <v>366</v>
      </c>
    </row>
    <row r="804" spans="1:2" ht="13">
      <c r="A804" s="41">
        <v>25</v>
      </c>
      <c r="B804" s="43" t="s">
        <v>367</v>
      </c>
    </row>
    <row r="805" spans="1:2" ht="13">
      <c r="A805" s="41">
        <v>26</v>
      </c>
      <c r="B805" s="43" t="s">
        <v>237</v>
      </c>
    </row>
    <row r="806" spans="1:2" ht="13">
      <c r="A806" s="41">
        <v>27</v>
      </c>
      <c r="B806" s="42" t="s">
        <v>368</v>
      </c>
    </row>
    <row r="807" spans="1:2" ht="13">
      <c r="A807" s="41">
        <v>28</v>
      </c>
      <c r="B807" s="43" t="s">
        <v>369</v>
      </c>
    </row>
    <row r="808" spans="1:2" ht="13">
      <c r="A808" s="41">
        <v>29</v>
      </c>
      <c r="B808" s="43" t="s">
        <v>370</v>
      </c>
    </row>
    <row r="809" spans="1:2" ht="13">
      <c r="A809" s="41">
        <v>30</v>
      </c>
      <c r="B809" s="43" t="s">
        <v>371</v>
      </c>
    </row>
    <row r="810" spans="1:2" ht="13">
      <c r="A810" s="41">
        <v>31</v>
      </c>
      <c r="B810" s="43" t="s">
        <v>237</v>
      </c>
    </row>
    <row r="811" spans="1:2" ht="13">
      <c r="A811" s="41">
        <v>32</v>
      </c>
      <c r="B811" s="42" t="s">
        <v>372</v>
      </c>
    </row>
    <row r="812" spans="1:2" ht="13">
      <c r="A812" s="41">
        <v>33</v>
      </c>
      <c r="B812" s="43" t="s">
        <v>373</v>
      </c>
    </row>
    <row r="813" spans="1:2" ht="13">
      <c r="A813" s="41">
        <v>34</v>
      </c>
      <c r="B813" s="43" t="s">
        <v>374</v>
      </c>
    </row>
    <row r="814" spans="1:2" ht="13">
      <c r="A814" s="41">
        <v>35</v>
      </c>
      <c r="B814" s="43" t="s">
        <v>375</v>
      </c>
    </row>
    <row r="815" spans="1:2" ht="13">
      <c r="A815" s="41">
        <v>36</v>
      </c>
      <c r="B815" s="43" t="s">
        <v>376</v>
      </c>
    </row>
    <row r="816" spans="1:2" ht="13">
      <c r="A816" s="41">
        <v>37</v>
      </c>
      <c r="B816" s="43" t="s">
        <v>237</v>
      </c>
    </row>
    <row r="817" spans="1:2" ht="13">
      <c r="A817" s="41">
        <v>38</v>
      </c>
      <c r="B817" s="42" t="s">
        <v>309</v>
      </c>
    </row>
    <row r="818" spans="1:2" ht="13">
      <c r="A818" s="41">
        <v>39</v>
      </c>
      <c r="B818" s="43" t="s">
        <v>377</v>
      </c>
    </row>
    <row r="819" spans="1:2" ht="13">
      <c r="A819" s="41">
        <v>40</v>
      </c>
      <c r="B819" s="43" t="s">
        <v>378</v>
      </c>
    </row>
    <row r="820" spans="1:2" ht="13">
      <c r="A820" s="41">
        <v>41</v>
      </c>
      <c r="B820" s="43" t="s">
        <v>237</v>
      </c>
    </row>
    <row r="821" spans="1:2" ht="13">
      <c r="A821" s="41">
        <v>42</v>
      </c>
      <c r="B821" s="43" t="s">
        <v>379</v>
      </c>
    </row>
    <row r="822" spans="1:2" ht="13">
      <c r="A822" s="41">
        <v>43</v>
      </c>
      <c r="B822" s="43" t="s">
        <v>380</v>
      </c>
    </row>
    <row r="823" spans="1:2" ht="13">
      <c r="A823" s="41">
        <v>44</v>
      </c>
      <c r="B823" s="43" t="s">
        <v>381</v>
      </c>
    </row>
    <row r="824" spans="1:2" ht="13">
      <c r="A824" s="41">
        <v>45</v>
      </c>
      <c r="B824" s="43" t="s">
        <v>524</v>
      </c>
    </row>
    <row r="825" spans="1:2" ht="13">
      <c r="A825" s="41">
        <v>46</v>
      </c>
      <c r="B825" s="43" t="s">
        <v>383</v>
      </c>
    </row>
    <row r="826" spans="1:2" ht="13">
      <c r="A826" s="41">
        <v>47</v>
      </c>
      <c r="B826" s="43" t="s">
        <v>384</v>
      </c>
    </row>
    <row r="827" spans="1:2" ht="13">
      <c r="A827" s="41">
        <v>48</v>
      </c>
      <c r="B827" s="43" t="s">
        <v>385</v>
      </c>
    </row>
    <row r="828" spans="1:2" ht="13">
      <c r="A828" s="41">
        <v>49</v>
      </c>
      <c r="B828" s="43" t="s">
        <v>237</v>
      </c>
    </row>
    <row r="829" spans="1:2" ht="13">
      <c r="A829" s="41">
        <v>50</v>
      </c>
      <c r="B829" s="42" t="s">
        <v>386</v>
      </c>
    </row>
    <row r="830" spans="1:2" ht="13">
      <c r="A830" s="41">
        <v>51</v>
      </c>
      <c r="B830" s="43" t="s">
        <v>318</v>
      </c>
    </row>
    <row r="831" spans="1:2" ht="13">
      <c r="A831" s="41">
        <v>52</v>
      </c>
      <c r="B831" s="43" t="s">
        <v>237</v>
      </c>
    </row>
    <row r="832" spans="1:2" ht="13">
      <c r="A832" s="41">
        <v>53</v>
      </c>
      <c r="B832" s="42" t="s">
        <v>305</v>
      </c>
    </row>
    <row r="833" spans="1:2" ht="13">
      <c r="A833" s="41">
        <v>54</v>
      </c>
      <c r="B833" s="43" t="s">
        <v>307</v>
      </c>
    </row>
    <row r="834" spans="1:2" ht="13">
      <c r="A834" s="41">
        <v>55</v>
      </c>
      <c r="B834" s="43" t="s">
        <v>308</v>
      </c>
    </row>
    <row r="835" spans="1:2" ht="13">
      <c r="A835" s="41">
        <v>56</v>
      </c>
      <c r="B835" s="43" t="s">
        <v>237</v>
      </c>
    </row>
    <row r="836" spans="1:2" ht="13">
      <c r="A836" s="41">
        <v>57</v>
      </c>
      <c r="B836" s="43" t="s">
        <v>387</v>
      </c>
    </row>
    <row r="837" spans="1:2" ht="13">
      <c r="A837" s="41">
        <v>58</v>
      </c>
      <c r="B837" s="43" t="s">
        <v>388</v>
      </c>
    </row>
    <row r="838" spans="1:2" ht="13">
      <c r="A838" s="41">
        <v>59</v>
      </c>
      <c r="B838" s="43" t="s">
        <v>389</v>
      </c>
    </row>
    <row r="839" spans="1:2" ht="13">
      <c r="A839" s="41">
        <v>60</v>
      </c>
      <c r="B839" s="43" t="s">
        <v>390</v>
      </c>
    </row>
    <row r="840" spans="1:2" ht="13">
      <c r="A840" s="41">
        <v>61</v>
      </c>
      <c r="B840" s="43" t="s">
        <v>391</v>
      </c>
    </row>
    <row r="841" spans="1:2" ht="13">
      <c r="A841" s="41">
        <v>62</v>
      </c>
      <c r="B841" s="43" t="s">
        <v>392</v>
      </c>
    </row>
    <row r="842" spans="1:2" ht="13">
      <c r="A842" s="41">
        <v>63</v>
      </c>
      <c r="B842" s="43" t="s">
        <v>393</v>
      </c>
    </row>
    <row r="843" spans="1:2" ht="13">
      <c r="A843" s="41">
        <v>64</v>
      </c>
      <c r="B843" s="43" t="s">
        <v>394</v>
      </c>
    </row>
    <row r="844" spans="1:2" ht="13">
      <c r="A844" s="41">
        <v>65</v>
      </c>
      <c r="B844" s="43" t="s">
        <v>395</v>
      </c>
    </row>
    <row r="845" spans="1:2" ht="13">
      <c r="A845" s="41">
        <v>66</v>
      </c>
      <c r="B845" s="43" t="s">
        <v>396</v>
      </c>
    </row>
    <row r="846" spans="1:2" ht="13">
      <c r="A846" s="41">
        <v>67</v>
      </c>
      <c r="B846" s="43" t="s">
        <v>397</v>
      </c>
    </row>
    <row r="847" spans="1:2" ht="13">
      <c r="A847" s="41">
        <v>68</v>
      </c>
      <c r="B847" s="43" t="s">
        <v>398</v>
      </c>
    </row>
    <row r="849" spans="1:2" ht="21.75" customHeight="1">
      <c r="A849" s="204" t="s">
        <v>525</v>
      </c>
      <c r="B849" s="204"/>
    </row>
    <row r="850" spans="1:2" ht="13">
      <c r="A850" s="41">
        <v>1</v>
      </c>
      <c r="B850" s="42" t="s">
        <v>231</v>
      </c>
    </row>
    <row r="851" spans="1:2" ht="13">
      <c r="A851" s="41">
        <v>2</v>
      </c>
      <c r="B851" s="42" t="s">
        <v>526</v>
      </c>
    </row>
    <row r="852" spans="1:2" ht="13">
      <c r="A852" s="41">
        <v>3</v>
      </c>
      <c r="B852" s="42" t="s">
        <v>231</v>
      </c>
    </row>
    <row r="853" spans="1:2" ht="13">
      <c r="A853" s="41">
        <v>4</v>
      </c>
      <c r="B853" s="43" t="s">
        <v>233</v>
      </c>
    </row>
    <row r="854" spans="1:2" ht="13">
      <c r="A854" s="41">
        <v>5</v>
      </c>
      <c r="B854" s="43" t="s">
        <v>234</v>
      </c>
    </row>
    <row r="855" spans="1:2" ht="13">
      <c r="A855" s="41">
        <v>6</v>
      </c>
      <c r="B855" s="43" t="s">
        <v>237</v>
      </c>
    </row>
    <row r="856" spans="1:2" ht="13">
      <c r="A856" s="41">
        <v>7</v>
      </c>
      <c r="B856" s="42" t="s">
        <v>351</v>
      </c>
    </row>
    <row r="857" spans="1:2" ht="13">
      <c r="A857" s="41">
        <v>8</v>
      </c>
      <c r="B857" s="43" t="s">
        <v>401</v>
      </c>
    </row>
    <row r="858" spans="1:2" ht="13">
      <c r="A858" s="41">
        <v>9</v>
      </c>
      <c r="B858" s="43" t="s">
        <v>527</v>
      </c>
    </row>
    <row r="859" spans="1:2" ht="13">
      <c r="A859" s="41">
        <v>10</v>
      </c>
      <c r="B859" s="43" t="s">
        <v>528</v>
      </c>
    </row>
    <row r="860" spans="1:2" ht="13">
      <c r="A860" s="41">
        <v>11</v>
      </c>
      <c r="B860" s="43" t="s">
        <v>237</v>
      </c>
    </row>
    <row r="861" spans="1:2" ht="13">
      <c r="A861" s="41">
        <v>12</v>
      </c>
      <c r="B861" s="43" t="s">
        <v>355</v>
      </c>
    </row>
    <row r="862" spans="1:2" ht="13">
      <c r="A862" s="41">
        <v>13</v>
      </c>
      <c r="B862" s="43" t="s">
        <v>529</v>
      </c>
    </row>
    <row r="863" spans="1:2" ht="13">
      <c r="A863" s="41">
        <v>14</v>
      </c>
      <c r="B863" s="43" t="s">
        <v>530</v>
      </c>
    </row>
    <row r="864" spans="1:2" ht="13">
      <c r="A864" s="41">
        <v>15</v>
      </c>
      <c r="B864" s="43" t="s">
        <v>531</v>
      </c>
    </row>
    <row r="865" spans="1:2" ht="13">
      <c r="A865" s="41">
        <v>16</v>
      </c>
      <c r="B865" s="43" t="s">
        <v>360</v>
      </c>
    </row>
    <row r="866" spans="1:2" ht="13">
      <c r="A866" s="41">
        <v>17</v>
      </c>
      <c r="B866" s="43" t="s">
        <v>237</v>
      </c>
    </row>
    <row r="867" spans="1:2" ht="13">
      <c r="A867" s="41">
        <v>18</v>
      </c>
      <c r="B867" s="43" t="s">
        <v>407</v>
      </c>
    </row>
    <row r="868" spans="1:2" ht="13">
      <c r="A868" s="41">
        <v>19</v>
      </c>
      <c r="B868" s="43" t="s">
        <v>408</v>
      </c>
    </row>
    <row r="869" spans="1:2" ht="13">
      <c r="A869" s="41">
        <v>20</v>
      </c>
      <c r="B869" s="43" t="s">
        <v>532</v>
      </c>
    </row>
    <row r="870" spans="1:2" ht="13">
      <c r="A870" s="41">
        <v>21</v>
      </c>
      <c r="B870" s="43" t="s">
        <v>533</v>
      </c>
    </row>
    <row r="871" spans="1:2" ht="13">
      <c r="A871" s="41">
        <v>22</v>
      </c>
      <c r="B871" s="43" t="s">
        <v>445</v>
      </c>
    </row>
    <row r="872" spans="1:2" ht="13">
      <c r="A872" s="41">
        <v>23</v>
      </c>
      <c r="B872" s="43" t="s">
        <v>237</v>
      </c>
    </row>
    <row r="873" spans="1:2" ht="13">
      <c r="A873" s="41">
        <v>24</v>
      </c>
      <c r="B873" s="42" t="s">
        <v>366</v>
      </c>
    </row>
    <row r="874" spans="1:2" ht="13">
      <c r="A874" s="41">
        <v>25</v>
      </c>
      <c r="B874" s="43" t="s">
        <v>367</v>
      </c>
    </row>
    <row r="875" spans="1:2" ht="13">
      <c r="A875" s="41">
        <v>26</v>
      </c>
      <c r="B875" s="43" t="s">
        <v>237</v>
      </c>
    </row>
    <row r="876" spans="1:2" ht="13">
      <c r="A876" s="41">
        <v>27</v>
      </c>
      <c r="B876" s="42" t="s">
        <v>368</v>
      </c>
    </row>
    <row r="877" spans="1:2" ht="13">
      <c r="A877" s="41">
        <v>28</v>
      </c>
      <c r="B877" s="43" t="s">
        <v>369</v>
      </c>
    </row>
    <row r="878" spans="1:2" ht="13">
      <c r="A878" s="41">
        <v>29</v>
      </c>
      <c r="B878" s="43" t="s">
        <v>370</v>
      </c>
    </row>
    <row r="879" spans="1:2" ht="13">
      <c r="A879" s="41">
        <v>30</v>
      </c>
      <c r="B879" s="43" t="s">
        <v>371</v>
      </c>
    </row>
    <row r="880" spans="1:2" ht="13">
      <c r="A880" s="41">
        <v>31</v>
      </c>
      <c r="B880" s="43" t="s">
        <v>237</v>
      </c>
    </row>
    <row r="881" spans="1:2" ht="13">
      <c r="A881" s="41">
        <v>32</v>
      </c>
      <c r="B881" s="42" t="s">
        <v>372</v>
      </c>
    </row>
    <row r="882" spans="1:2" ht="13">
      <c r="A882" s="41">
        <v>33</v>
      </c>
      <c r="B882" s="43" t="s">
        <v>373</v>
      </c>
    </row>
    <row r="883" spans="1:2" ht="13">
      <c r="A883" s="41">
        <v>34</v>
      </c>
      <c r="B883" s="43" t="s">
        <v>374</v>
      </c>
    </row>
    <row r="884" spans="1:2" ht="13">
      <c r="A884" s="41">
        <v>35</v>
      </c>
      <c r="B884" s="43" t="s">
        <v>375</v>
      </c>
    </row>
    <row r="885" spans="1:2" ht="13">
      <c r="A885" s="41">
        <v>36</v>
      </c>
      <c r="B885" s="43" t="s">
        <v>376</v>
      </c>
    </row>
    <row r="886" spans="1:2" ht="13">
      <c r="A886" s="41">
        <v>37</v>
      </c>
      <c r="B886" s="43" t="s">
        <v>237</v>
      </c>
    </row>
    <row r="887" spans="1:2" ht="13">
      <c r="A887" s="41">
        <v>38</v>
      </c>
      <c r="B887" s="42" t="s">
        <v>309</v>
      </c>
    </row>
    <row r="888" spans="1:2" ht="13">
      <c r="A888" s="41">
        <v>39</v>
      </c>
      <c r="B888" s="43" t="s">
        <v>377</v>
      </c>
    </row>
    <row r="889" spans="1:2" ht="13">
      <c r="A889" s="41">
        <v>40</v>
      </c>
      <c r="B889" s="43" t="s">
        <v>378</v>
      </c>
    </row>
    <row r="890" spans="1:2" ht="13">
      <c r="A890" s="41">
        <v>41</v>
      </c>
      <c r="B890" s="43" t="s">
        <v>237</v>
      </c>
    </row>
    <row r="891" spans="1:2" ht="13">
      <c r="A891" s="41">
        <v>42</v>
      </c>
      <c r="B891" s="43" t="s">
        <v>379</v>
      </c>
    </row>
    <row r="892" spans="1:2" ht="13">
      <c r="A892" s="41">
        <v>43</v>
      </c>
      <c r="B892" s="43" t="s">
        <v>380</v>
      </c>
    </row>
    <row r="893" spans="1:2" ht="13">
      <c r="A893" s="41">
        <v>44</v>
      </c>
      <c r="B893" s="43" t="s">
        <v>381</v>
      </c>
    </row>
    <row r="894" spans="1:2" ht="13">
      <c r="A894" s="41">
        <v>45</v>
      </c>
      <c r="B894" s="43" t="s">
        <v>446</v>
      </c>
    </row>
    <row r="895" spans="1:2" ht="13">
      <c r="A895" s="41">
        <v>46</v>
      </c>
      <c r="B895" s="43" t="s">
        <v>383</v>
      </c>
    </row>
    <row r="896" spans="1:2" ht="13">
      <c r="A896" s="41">
        <v>47</v>
      </c>
      <c r="B896" s="43" t="s">
        <v>384</v>
      </c>
    </row>
    <row r="897" spans="1:2" ht="13">
      <c r="A897" s="41">
        <v>48</v>
      </c>
      <c r="B897" s="43" t="s">
        <v>385</v>
      </c>
    </row>
    <row r="898" spans="1:2" ht="13">
      <c r="A898" s="41">
        <v>49</v>
      </c>
      <c r="B898" s="43" t="s">
        <v>237</v>
      </c>
    </row>
    <row r="899" spans="1:2" ht="13">
      <c r="A899" s="41">
        <v>50</v>
      </c>
      <c r="B899" s="42" t="s">
        <v>386</v>
      </c>
    </row>
    <row r="900" spans="1:2" ht="13">
      <c r="A900" s="41">
        <v>51</v>
      </c>
      <c r="B900" s="43" t="s">
        <v>318</v>
      </c>
    </row>
    <row r="901" spans="1:2" ht="13">
      <c r="A901" s="41">
        <v>52</v>
      </c>
      <c r="B901" s="43" t="s">
        <v>237</v>
      </c>
    </row>
    <row r="902" spans="1:2" ht="13">
      <c r="A902" s="41">
        <v>53</v>
      </c>
      <c r="B902" s="42" t="s">
        <v>305</v>
      </c>
    </row>
    <row r="903" spans="1:2" ht="13">
      <c r="A903" s="41">
        <v>54</v>
      </c>
      <c r="B903" s="43" t="s">
        <v>307</v>
      </c>
    </row>
    <row r="904" spans="1:2" ht="13">
      <c r="A904" s="41">
        <v>55</v>
      </c>
      <c r="B904" s="43" t="s">
        <v>308</v>
      </c>
    </row>
    <row r="905" spans="1:2" ht="13">
      <c r="A905" s="41">
        <v>56</v>
      </c>
      <c r="B905" s="43" t="s">
        <v>237</v>
      </c>
    </row>
    <row r="906" spans="1:2" ht="13">
      <c r="A906" s="41">
        <v>57</v>
      </c>
      <c r="B906" s="43" t="s">
        <v>387</v>
      </c>
    </row>
    <row r="907" spans="1:2" ht="13">
      <c r="A907" s="41">
        <v>58</v>
      </c>
      <c r="B907" s="43" t="s">
        <v>388</v>
      </c>
    </row>
    <row r="908" spans="1:2" ht="13">
      <c r="A908" s="41">
        <v>59</v>
      </c>
      <c r="B908" s="43" t="s">
        <v>389</v>
      </c>
    </row>
    <row r="909" spans="1:2" ht="13">
      <c r="A909" s="41">
        <v>60</v>
      </c>
      <c r="B909" s="43" t="s">
        <v>390</v>
      </c>
    </row>
    <row r="910" spans="1:2" ht="13">
      <c r="A910" s="41">
        <v>61</v>
      </c>
      <c r="B910" s="43" t="s">
        <v>391</v>
      </c>
    </row>
    <row r="911" spans="1:2" ht="13">
      <c r="A911" s="41">
        <v>62</v>
      </c>
      <c r="B911" s="43" t="s">
        <v>392</v>
      </c>
    </row>
    <row r="912" spans="1:2" ht="13">
      <c r="A912" s="41">
        <v>63</v>
      </c>
      <c r="B912" s="43" t="s">
        <v>393</v>
      </c>
    </row>
    <row r="913" spans="1:2" ht="13">
      <c r="A913" s="41">
        <v>64</v>
      </c>
      <c r="B913" s="43" t="s">
        <v>394</v>
      </c>
    </row>
    <row r="914" spans="1:2" ht="13">
      <c r="A914" s="41">
        <v>65</v>
      </c>
      <c r="B914" s="43" t="s">
        <v>395</v>
      </c>
    </row>
    <row r="915" spans="1:2" ht="13">
      <c r="A915" s="41">
        <v>66</v>
      </c>
      <c r="B915" s="43" t="s">
        <v>396</v>
      </c>
    </row>
    <row r="916" spans="1:2" ht="13">
      <c r="A916" s="41">
        <v>67</v>
      </c>
      <c r="B916" s="43" t="s">
        <v>397</v>
      </c>
    </row>
    <row r="917" spans="1:2" ht="13">
      <c r="A917" s="41">
        <v>68</v>
      </c>
      <c r="B917" s="43" t="s">
        <v>398</v>
      </c>
    </row>
    <row r="919" spans="1:2" ht="21.75" customHeight="1">
      <c r="A919" s="204" t="s">
        <v>534</v>
      </c>
      <c r="B919" s="204"/>
    </row>
    <row r="920" spans="1:2" ht="13">
      <c r="A920" s="41">
        <v>1</v>
      </c>
      <c r="B920" s="42" t="s">
        <v>231</v>
      </c>
    </row>
    <row r="921" spans="1:2" ht="13">
      <c r="A921" s="41">
        <v>2</v>
      </c>
      <c r="B921" s="42" t="s">
        <v>535</v>
      </c>
    </row>
    <row r="922" spans="1:2" ht="13">
      <c r="A922" s="41">
        <v>3</v>
      </c>
      <c r="B922" s="42" t="s">
        <v>231</v>
      </c>
    </row>
    <row r="923" spans="1:2" ht="13">
      <c r="A923" s="41">
        <v>4</v>
      </c>
      <c r="B923" s="43" t="s">
        <v>233</v>
      </c>
    </row>
    <row r="924" spans="1:2" ht="13">
      <c r="A924" s="41">
        <v>5</v>
      </c>
      <c r="B924" s="43" t="s">
        <v>234</v>
      </c>
    </row>
    <row r="925" spans="1:2" ht="13">
      <c r="A925" s="41">
        <v>6</v>
      </c>
      <c r="B925" s="43" t="s">
        <v>237</v>
      </c>
    </row>
    <row r="926" spans="1:2" ht="13">
      <c r="A926" s="41">
        <v>7</v>
      </c>
      <c r="B926" s="42" t="s">
        <v>351</v>
      </c>
    </row>
    <row r="927" spans="1:2" ht="13">
      <c r="A927" s="41">
        <v>8</v>
      </c>
      <c r="B927" s="43" t="s">
        <v>401</v>
      </c>
    </row>
    <row r="928" spans="1:2" ht="13">
      <c r="A928" s="41">
        <v>9</v>
      </c>
      <c r="B928" s="43" t="s">
        <v>536</v>
      </c>
    </row>
    <row r="929" spans="1:2" ht="13">
      <c r="A929" s="41">
        <v>10</v>
      </c>
      <c r="B929" s="43" t="s">
        <v>537</v>
      </c>
    </row>
    <row r="930" spans="1:2" ht="13">
      <c r="A930" s="41">
        <v>11</v>
      </c>
      <c r="B930" s="43" t="s">
        <v>237</v>
      </c>
    </row>
    <row r="931" spans="1:2" ht="13">
      <c r="A931" s="41">
        <v>12</v>
      </c>
      <c r="B931" s="43" t="s">
        <v>355</v>
      </c>
    </row>
    <row r="932" spans="1:2" ht="13">
      <c r="A932" s="41">
        <v>13</v>
      </c>
      <c r="B932" s="43" t="s">
        <v>538</v>
      </c>
    </row>
    <row r="933" spans="1:2" ht="13">
      <c r="A933" s="41">
        <v>14</v>
      </c>
      <c r="B933" s="43" t="s">
        <v>539</v>
      </c>
    </row>
    <row r="934" spans="1:2" ht="13">
      <c r="A934" s="41">
        <v>15</v>
      </c>
      <c r="B934" s="43" t="s">
        <v>540</v>
      </c>
    </row>
    <row r="935" spans="1:2" ht="13">
      <c r="A935" s="41">
        <v>16</v>
      </c>
      <c r="B935" s="43" t="s">
        <v>360</v>
      </c>
    </row>
    <row r="936" spans="1:2" ht="13">
      <c r="A936" s="41">
        <v>17</v>
      </c>
      <c r="B936" s="43" t="s">
        <v>237</v>
      </c>
    </row>
    <row r="937" spans="1:2" ht="13">
      <c r="A937" s="41">
        <v>18</v>
      </c>
      <c r="B937" s="43" t="s">
        <v>407</v>
      </c>
    </row>
    <row r="938" spans="1:2" ht="13">
      <c r="A938" s="41">
        <v>19</v>
      </c>
      <c r="B938" s="43" t="s">
        <v>408</v>
      </c>
    </row>
    <row r="939" spans="1:2" ht="13">
      <c r="A939" s="41">
        <v>20</v>
      </c>
      <c r="B939" s="43" t="s">
        <v>541</v>
      </c>
    </row>
    <row r="940" spans="1:2" ht="13">
      <c r="A940" s="41">
        <v>21</v>
      </c>
      <c r="B940" s="43" t="s">
        <v>542</v>
      </c>
    </row>
    <row r="941" spans="1:2" ht="13">
      <c r="A941" s="41">
        <v>22</v>
      </c>
      <c r="B941" s="43" t="s">
        <v>543</v>
      </c>
    </row>
    <row r="942" spans="1:2" ht="13">
      <c r="A942" s="41">
        <v>23</v>
      </c>
      <c r="B942" s="43" t="s">
        <v>237</v>
      </c>
    </row>
    <row r="943" spans="1:2" ht="13">
      <c r="A943" s="41">
        <v>24</v>
      </c>
      <c r="B943" s="42" t="s">
        <v>366</v>
      </c>
    </row>
    <row r="944" spans="1:2" ht="13">
      <c r="A944" s="41">
        <v>25</v>
      </c>
      <c r="B944" s="43" t="s">
        <v>367</v>
      </c>
    </row>
    <row r="945" spans="1:2" ht="13">
      <c r="A945" s="41">
        <v>26</v>
      </c>
      <c r="B945" s="43" t="s">
        <v>237</v>
      </c>
    </row>
    <row r="946" spans="1:2" ht="13">
      <c r="A946" s="41">
        <v>27</v>
      </c>
      <c r="B946" s="42" t="s">
        <v>368</v>
      </c>
    </row>
    <row r="947" spans="1:2" ht="13">
      <c r="A947" s="41">
        <v>28</v>
      </c>
      <c r="B947" s="43" t="s">
        <v>369</v>
      </c>
    </row>
    <row r="948" spans="1:2" ht="13">
      <c r="A948" s="41">
        <v>29</v>
      </c>
      <c r="B948" s="43" t="s">
        <v>370</v>
      </c>
    </row>
    <row r="949" spans="1:2" ht="13">
      <c r="A949" s="41">
        <v>30</v>
      </c>
      <c r="B949" s="43" t="s">
        <v>371</v>
      </c>
    </row>
    <row r="950" spans="1:2" ht="13">
      <c r="A950" s="41">
        <v>31</v>
      </c>
      <c r="B950" s="43" t="s">
        <v>237</v>
      </c>
    </row>
    <row r="951" spans="1:2" ht="13">
      <c r="A951" s="41">
        <v>32</v>
      </c>
      <c r="B951" s="42" t="s">
        <v>372</v>
      </c>
    </row>
    <row r="952" spans="1:2" ht="13">
      <c r="A952" s="41">
        <v>33</v>
      </c>
      <c r="B952" s="43" t="s">
        <v>373</v>
      </c>
    </row>
    <row r="953" spans="1:2" ht="13">
      <c r="A953" s="41">
        <v>34</v>
      </c>
      <c r="B953" s="43" t="s">
        <v>374</v>
      </c>
    </row>
    <row r="954" spans="1:2" ht="13">
      <c r="A954" s="41">
        <v>35</v>
      </c>
      <c r="B954" s="43" t="s">
        <v>375</v>
      </c>
    </row>
    <row r="955" spans="1:2" ht="13">
      <c r="A955" s="41">
        <v>36</v>
      </c>
      <c r="B955" s="43" t="s">
        <v>376</v>
      </c>
    </row>
    <row r="956" spans="1:2" ht="13">
      <c r="A956" s="41">
        <v>37</v>
      </c>
      <c r="B956" s="43" t="s">
        <v>237</v>
      </c>
    </row>
    <row r="957" spans="1:2" ht="13">
      <c r="A957" s="41">
        <v>38</v>
      </c>
      <c r="B957" s="42" t="s">
        <v>309</v>
      </c>
    </row>
    <row r="958" spans="1:2" ht="13">
      <c r="A958" s="41">
        <v>39</v>
      </c>
      <c r="B958" s="43" t="s">
        <v>377</v>
      </c>
    </row>
    <row r="959" spans="1:2" ht="13">
      <c r="A959" s="41">
        <v>40</v>
      </c>
      <c r="B959" s="43" t="s">
        <v>378</v>
      </c>
    </row>
    <row r="960" spans="1:2" ht="13">
      <c r="A960" s="41">
        <v>41</v>
      </c>
      <c r="B960" s="43" t="s">
        <v>237</v>
      </c>
    </row>
    <row r="961" spans="1:2" ht="13">
      <c r="A961" s="41">
        <v>42</v>
      </c>
      <c r="B961" s="43" t="s">
        <v>379</v>
      </c>
    </row>
    <row r="962" spans="1:2" ht="13">
      <c r="A962" s="41">
        <v>43</v>
      </c>
      <c r="B962" s="43" t="s">
        <v>380</v>
      </c>
    </row>
    <row r="963" spans="1:2" ht="13">
      <c r="A963" s="41">
        <v>44</v>
      </c>
      <c r="B963" s="43" t="s">
        <v>381</v>
      </c>
    </row>
    <row r="964" spans="1:2" ht="13">
      <c r="A964" s="41">
        <v>45</v>
      </c>
      <c r="B964" s="43" t="s">
        <v>544</v>
      </c>
    </row>
    <row r="965" spans="1:2" ht="13">
      <c r="A965" s="41">
        <v>46</v>
      </c>
      <c r="B965" s="43" t="s">
        <v>383</v>
      </c>
    </row>
    <row r="966" spans="1:2" ht="13">
      <c r="A966" s="41">
        <v>47</v>
      </c>
      <c r="B966" s="43" t="s">
        <v>384</v>
      </c>
    </row>
    <row r="967" spans="1:2" ht="13">
      <c r="A967" s="41">
        <v>48</v>
      </c>
      <c r="B967" s="43" t="s">
        <v>385</v>
      </c>
    </row>
    <row r="968" spans="1:2" ht="13">
      <c r="A968" s="41">
        <v>49</v>
      </c>
      <c r="B968" s="43" t="s">
        <v>237</v>
      </c>
    </row>
    <row r="969" spans="1:2" ht="13">
      <c r="A969" s="41">
        <v>50</v>
      </c>
      <c r="B969" s="42" t="s">
        <v>386</v>
      </c>
    </row>
    <row r="970" spans="1:2" ht="13">
      <c r="A970" s="41">
        <v>51</v>
      </c>
      <c r="B970" s="43" t="s">
        <v>318</v>
      </c>
    </row>
    <row r="971" spans="1:2" ht="13">
      <c r="A971" s="41">
        <v>52</v>
      </c>
      <c r="B971" s="43" t="s">
        <v>237</v>
      </c>
    </row>
    <row r="972" spans="1:2" ht="13">
      <c r="A972" s="41">
        <v>53</v>
      </c>
      <c r="B972" s="42" t="s">
        <v>305</v>
      </c>
    </row>
    <row r="973" spans="1:2" ht="13">
      <c r="A973" s="41">
        <v>54</v>
      </c>
      <c r="B973" s="43" t="s">
        <v>307</v>
      </c>
    </row>
    <row r="974" spans="1:2" ht="13">
      <c r="A974" s="41">
        <v>55</v>
      </c>
      <c r="B974" s="43" t="s">
        <v>308</v>
      </c>
    </row>
    <row r="975" spans="1:2" ht="13">
      <c r="A975" s="41">
        <v>56</v>
      </c>
      <c r="B975" s="43" t="s">
        <v>237</v>
      </c>
    </row>
    <row r="976" spans="1:2" ht="13">
      <c r="A976" s="41">
        <v>57</v>
      </c>
      <c r="B976" s="43" t="s">
        <v>387</v>
      </c>
    </row>
    <row r="977" spans="1:2" ht="13">
      <c r="A977" s="41">
        <v>58</v>
      </c>
      <c r="B977" s="43" t="s">
        <v>388</v>
      </c>
    </row>
    <row r="978" spans="1:2" ht="13">
      <c r="A978" s="41">
        <v>59</v>
      </c>
      <c r="B978" s="43" t="s">
        <v>389</v>
      </c>
    </row>
    <row r="979" spans="1:2" ht="13">
      <c r="A979" s="41">
        <v>60</v>
      </c>
      <c r="B979" s="43" t="s">
        <v>390</v>
      </c>
    </row>
    <row r="980" spans="1:2" ht="13">
      <c r="A980" s="41">
        <v>61</v>
      </c>
      <c r="B980" s="43" t="s">
        <v>391</v>
      </c>
    </row>
    <row r="981" spans="1:2" ht="13">
      <c r="A981" s="41">
        <v>62</v>
      </c>
      <c r="B981" s="43" t="s">
        <v>392</v>
      </c>
    </row>
    <row r="982" spans="1:2" ht="13">
      <c r="A982" s="41">
        <v>63</v>
      </c>
      <c r="B982" s="43" t="s">
        <v>393</v>
      </c>
    </row>
    <row r="983" spans="1:2" ht="13">
      <c r="A983" s="41">
        <v>64</v>
      </c>
      <c r="B983" s="43" t="s">
        <v>394</v>
      </c>
    </row>
    <row r="984" spans="1:2" ht="13">
      <c r="A984" s="41">
        <v>65</v>
      </c>
      <c r="B984" s="43" t="s">
        <v>395</v>
      </c>
    </row>
    <row r="985" spans="1:2" ht="13">
      <c r="A985" s="41">
        <v>66</v>
      </c>
      <c r="B985" s="43" t="s">
        <v>396</v>
      </c>
    </row>
    <row r="986" spans="1:2" ht="13">
      <c r="A986" s="41">
        <v>67</v>
      </c>
      <c r="B986" s="43" t="s">
        <v>397</v>
      </c>
    </row>
    <row r="987" spans="1:2" ht="13">
      <c r="A987" s="41">
        <v>68</v>
      </c>
      <c r="B987" s="43" t="s">
        <v>398</v>
      </c>
    </row>
  </sheetData>
  <mergeCells count="16">
    <mergeCell ref="A919:B919"/>
    <mergeCell ref="A569:B569"/>
    <mergeCell ref="A639:B639"/>
    <mergeCell ref="A709:B709"/>
    <mergeCell ref="A779:B779"/>
    <mergeCell ref="A849:B849"/>
    <mergeCell ref="A216:B216"/>
    <mergeCell ref="A287:B287"/>
    <mergeCell ref="A358:B358"/>
    <mergeCell ref="A429:B429"/>
    <mergeCell ref="A499:B499"/>
    <mergeCell ref="A1:B1"/>
    <mergeCell ref="A2:B2"/>
    <mergeCell ref="A4:B4"/>
    <mergeCell ref="A75:B75"/>
    <mergeCell ref="A145:B14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H10"/>
  <sheetViews>
    <sheetView zoomScale="113" zoomScaleNormal="113" workbookViewId="0">
      <selection activeCell="C4" sqref="C4"/>
    </sheetView>
  </sheetViews>
  <sheetFormatPr defaultColWidth="12.6328125" defaultRowHeight="12.5"/>
  <cols>
    <col min="4" max="4" width="4.08984375" customWidth="1"/>
    <col min="5" max="5" width="11.08984375" customWidth="1"/>
    <col min="6" max="6" width="10.7265625" customWidth="1"/>
  </cols>
  <sheetData>
    <row r="3" spans="2:8" ht="15.75" customHeight="1">
      <c r="B3" s="44" t="s">
        <v>545</v>
      </c>
      <c r="C3" s="45" t="s">
        <v>546</v>
      </c>
      <c r="D3" s="46" t="s">
        <v>547</v>
      </c>
      <c r="E3" s="47" t="s">
        <v>548</v>
      </c>
      <c r="F3" s="47" t="s">
        <v>549</v>
      </c>
    </row>
    <row r="4" spans="2:8" ht="15.75" customHeight="1">
      <c r="B4" s="48" t="s">
        <v>43</v>
      </c>
      <c r="C4" s="49">
        <v>2360</v>
      </c>
      <c r="D4" s="47">
        <v>67</v>
      </c>
      <c r="E4" s="47">
        <f>D4^(1/3)</f>
        <v>4.0615481004456786</v>
      </c>
      <c r="F4" s="47">
        <f>SQRT(50000)</f>
        <v>223.60679774997897</v>
      </c>
    </row>
    <row r="5" spans="2:8" ht="15.75" customHeight="1">
      <c r="B5" s="48" t="s">
        <v>45</v>
      </c>
      <c r="C5" s="49">
        <v>1600</v>
      </c>
      <c r="H5" s="47"/>
    </row>
    <row r="6" spans="2:8" ht="15.75" customHeight="1">
      <c r="B6" s="48" t="s">
        <v>47</v>
      </c>
      <c r="C6" s="49">
        <v>1160</v>
      </c>
      <c r="D6" s="47">
        <v>33</v>
      </c>
    </row>
    <row r="7" spans="2:8" ht="15.75" customHeight="1">
      <c r="B7" s="48" t="s">
        <v>49</v>
      </c>
      <c r="C7" s="49">
        <v>880</v>
      </c>
    </row>
    <row r="8" spans="2:8" ht="15.75" customHeight="1">
      <c r="B8" s="48" t="s">
        <v>32</v>
      </c>
      <c r="C8" s="49">
        <v>280</v>
      </c>
      <c r="D8" s="47">
        <v>25</v>
      </c>
    </row>
    <row r="10" spans="2:8" ht="15.75" customHeight="1">
      <c r="C10" s="50">
        <v>4623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37"/>
  <sheetViews>
    <sheetView zoomScaleNormal="100" workbookViewId="0"/>
  </sheetViews>
  <sheetFormatPr defaultColWidth="12.6328125" defaultRowHeight="12.5"/>
  <cols>
    <col min="4" max="4" width="27.6328125" customWidth="1"/>
  </cols>
  <sheetData>
    <row r="2" spans="2:13" ht="15.75" customHeight="1"/>
    <row r="3" spans="2:13" ht="15.75" customHeight="1">
      <c r="B3" s="205" t="s">
        <v>550</v>
      </c>
      <c r="C3" s="205"/>
      <c r="D3" s="205"/>
      <c r="F3" s="51">
        <v>28495.968000000001</v>
      </c>
      <c r="G3" s="52" t="s">
        <v>158</v>
      </c>
      <c r="H3" s="53" t="s">
        <v>551</v>
      </c>
      <c r="I3" s="53" t="s">
        <v>552</v>
      </c>
      <c r="J3" s="51"/>
      <c r="K3" s="52"/>
      <c r="L3" s="53"/>
      <c r="M3" s="53"/>
    </row>
    <row r="4" spans="2:13" ht="15.75" customHeight="1">
      <c r="B4" s="54" t="s">
        <v>553</v>
      </c>
      <c r="C4" s="54" t="s">
        <v>554</v>
      </c>
      <c r="D4" s="54" t="s">
        <v>555</v>
      </c>
      <c r="F4" s="50">
        <v>6252</v>
      </c>
      <c r="G4" s="52" t="s">
        <v>162</v>
      </c>
      <c r="H4" s="53" t="s">
        <v>556</v>
      </c>
      <c r="I4" s="53" t="s">
        <v>552</v>
      </c>
      <c r="J4" s="50"/>
      <c r="K4" s="52"/>
      <c r="L4" s="53"/>
      <c r="M4" s="53"/>
    </row>
    <row r="5" spans="2:13" ht="15.75" customHeight="1">
      <c r="B5" s="55" t="s">
        <v>557</v>
      </c>
      <c r="C5" s="56">
        <v>18.071000000000002</v>
      </c>
      <c r="D5" s="50">
        <v>1729</v>
      </c>
      <c r="F5" s="51">
        <v>17215.407999999999</v>
      </c>
      <c r="G5" s="53" t="s">
        <v>160</v>
      </c>
      <c r="H5" s="53" t="s">
        <v>558</v>
      </c>
      <c r="I5" s="53" t="s">
        <v>552</v>
      </c>
      <c r="J5" s="51"/>
      <c r="K5" s="53"/>
      <c r="L5" s="53"/>
      <c r="M5" s="53"/>
    </row>
    <row r="6" spans="2:13" ht="15.75" customHeight="1">
      <c r="B6" s="55" t="s">
        <v>559</v>
      </c>
      <c r="C6" s="56">
        <v>10.64</v>
      </c>
      <c r="D6" s="56">
        <v>967</v>
      </c>
      <c r="F6" s="50">
        <v>8800</v>
      </c>
      <c r="G6" s="52" t="s">
        <v>164</v>
      </c>
      <c r="H6" s="53" t="s">
        <v>560</v>
      </c>
      <c r="I6" s="53" t="s">
        <v>552</v>
      </c>
      <c r="J6" s="50"/>
      <c r="K6" s="52"/>
      <c r="L6" s="53"/>
      <c r="M6" s="53"/>
    </row>
    <row r="7" spans="2:13" ht="15.75" customHeight="1">
      <c r="B7" s="55" t="s">
        <v>561</v>
      </c>
      <c r="C7" s="56">
        <v>6.173</v>
      </c>
      <c r="D7" s="50">
        <v>2724</v>
      </c>
      <c r="F7" s="50">
        <v>6680</v>
      </c>
      <c r="G7" s="52" t="s">
        <v>166</v>
      </c>
      <c r="H7" s="53" t="s">
        <v>562</v>
      </c>
      <c r="I7" s="53" t="s">
        <v>552</v>
      </c>
      <c r="J7" s="50"/>
      <c r="K7" s="52"/>
      <c r="L7" s="53"/>
      <c r="M7" s="53"/>
    </row>
    <row r="8" spans="2:13" ht="15.75" customHeight="1">
      <c r="B8" s="55" t="s">
        <v>563</v>
      </c>
      <c r="C8" s="56">
        <v>15.273999999999999</v>
      </c>
      <c r="D8" s="50">
        <v>1924</v>
      </c>
      <c r="F8" s="50">
        <v>7491</v>
      </c>
      <c r="G8" s="52" t="s">
        <v>168</v>
      </c>
      <c r="H8" s="53" t="s">
        <v>564</v>
      </c>
      <c r="I8" s="53" t="s">
        <v>552</v>
      </c>
      <c r="J8" s="50"/>
      <c r="K8" s="52"/>
      <c r="L8" s="53"/>
      <c r="M8" s="53"/>
    </row>
    <row r="9" spans="2:13" ht="15.75" customHeight="1">
      <c r="B9" s="55" t="s">
        <v>565</v>
      </c>
      <c r="C9" s="56">
        <v>5.8650000000000002</v>
      </c>
      <c r="D9" s="50">
        <v>2269</v>
      </c>
      <c r="F9" s="51"/>
      <c r="G9" s="52"/>
      <c r="H9" s="53"/>
      <c r="I9" s="53"/>
      <c r="J9" s="51"/>
      <c r="K9" s="52"/>
      <c r="L9" s="53"/>
      <c r="M9" s="53"/>
    </row>
    <row r="10" spans="2:13" ht="15.75" customHeight="1">
      <c r="B10" s="55" t="s">
        <v>566</v>
      </c>
      <c r="C10" s="56">
        <v>15.975</v>
      </c>
      <c r="D10" s="50">
        <v>2871</v>
      </c>
      <c r="F10" s="50"/>
      <c r="G10" s="52"/>
      <c r="H10" s="53"/>
      <c r="I10" s="53"/>
      <c r="J10" s="50"/>
      <c r="K10" s="52"/>
      <c r="L10" s="53"/>
      <c r="M10" s="53"/>
    </row>
    <row r="11" spans="2:13" ht="15.75" customHeight="1">
      <c r="B11" s="55" t="s">
        <v>567</v>
      </c>
      <c r="C11" s="56">
        <v>26.986000000000001</v>
      </c>
      <c r="D11" s="50">
        <v>2549</v>
      </c>
      <c r="F11" s="51"/>
      <c r="G11" s="53"/>
      <c r="H11" s="53"/>
      <c r="I11" s="53"/>
      <c r="J11" s="51"/>
      <c r="K11" s="53"/>
      <c r="L11" s="53"/>
      <c r="M11" s="53"/>
    </row>
    <row r="12" spans="2:13" ht="15.75" customHeight="1">
      <c r="B12" s="55" t="s">
        <v>568</v>
      </c>
      <c r="C12" s="56">
        <v>14.201000000000001</v>
      </c>
      <c r="D12" s="50">
        <v>8017</v>
      </c>
      <c r="E12" s="57">
        <f>D12+D23</f>
        <v>10689</v>
      </c>
      <c r="F12" s="50"/>
      <c r="G12" s="52"/>
      <c r="H12" s="53"/>
      <c r="I12" s="53"/>
      <c r="J12" s="50"/>
      <c r="K12" s="52"/>
      <c r="L12" s="53"/>
      <c r="M12" s="53"/>
    </row>
    <row r="13" spans="2:13" ht="15.75" customHeight="1">
      <c r="B13" s="55" t="s">
        <v>569</v>
      </c>
      <c r="C13" s="56">
        <v>5.0410000000000004</v>
      </c>
      <c r="D13" s="50">
        <v>11369</v>
      </c>
      <c r="F13" s="50"/>
      <c r="G13" s="52"/>
      <c r="H13" s="53"/>
      <c r="I13" s="53"/>
      <c r="J13" s="50"/>
      <c r="K13" s="52"/>
      <c r="L13" s="53"/>
      <c r="M13" s="53"/>
    </row>
    <row r="14" spans="2:13" ht="15.75" customHeight="1">
      <c r="B14" s="55" t="s">
        <v>570</v>
      </c>
      <c r="C14" s="56">
        <v>14.577999999999999</v>
      </c>
      <c r="D14" s="50">
        <v>2561</v>
      </c>
      <c r="F14" s="50"/>
      <c r="G14" s="52"/>
      <c r="H14" s="53"/>
      <c r="I14" s="53"/>
      <c r="J14" s="50"/>
      <c r="K14" s="52"/>
      <c r="L14" s="53"/>
      <c r="M14" s="53"/>
    </row>
    <row r="15" spans="2:13" ht="15.75" customHeight="1">
      <c r="B15" s="55" t="s">
        <v>162</v>
      </c>
      <c r="C15" s="56">
        <v>20.571000000000002</v>
      </c>
      <c r="D15" s="50">
        <v>6252</v>
      </c>
      <c r="E15" s="57">
        <f>D15+D7+D36+D16</f>
        <v>14736</v>
      </c>
    </row>
    <row r="16" spans="2:13" ht="15.75" customHeight="1">
      <c r="B16" s="55" t="s">
        <v>571</v>
      </c>
      <c r="C16" s="56">
        <v>24.390999999999998</v>
      </c>
      <c r="D16" s="50">
        <v>3579</v>
      </c>
    </row>
    <row r="17" spans="2:5" ht="15.75" customHeight="1">
      <c r="B17" s="55" t="s">
        <v>572</v>
      </c>
      <c r="C17" s="56">
        <v>8.0489999999999995</v>
      </c>
      <c r="D17" s="50">
        <v>3692</v>
      </c>
    </row>
    <row r="18" spans="2:5" ht="15.75" customHeight="1">
      <c r="B18" s="55" t="s">
        <v>573</v>
      </c>
      <c r="C18" s="56">
        <v>23.141999999999999</v>
      </c>
      <c r="D18" s="50">
        <v>9643</v>
      </c>
    </row>
    <row r="19" spans="2:5" ht="15.75" customHeight="1">
      <c r="B19" s="55" t="s">
        <v>164</v>
      </c>
      <c r="C19" s="56">
        <v>7.0960000000000001</v>
      </c>
      <c r="D19" s="50">
        <v>8800</v>
      </c>
      <c r="E19" s="57">
        <f>D19+D11+D13+D14+D26+D32+D33+D10+D20+E24+E27</f>
        <v>62670</v>
      </c>
    </row>
    <row r="20" spans="2:5" ht="15.75" customHeight="1">
      <c r="B20" s="55" t="s">
        <v>574</v>
      </c>
      <c r="C20" s="56">
        <v>16.957000000000001</v>
      </c>
      <c r="D20" s="50">
        <v>2902</v>
      </c>
    </row>
    <row r="21" spans="2:5" ht="15.75" customHeight="1">
      <c r="B21" s="55" t="s">
        <v>166</v>
      </c>
      <c r="C21" s="56">
        <v>4.9260000000000002</v>
      </c>
      <c r="D21" s="50">
        <v>6680</v>
      </c>
      <c r="E21" s="57">
        <f>D21+D9+D17+D34+E12</f>
        <v>25418</v>
      </c>
    </row>
    <row r="22" spans="2:5" ht="15.75" customHeight="1">
      <c r="B22" s="55" t="s">
        <v>575</v>
      </c>
      <c r="C22" s="56">
        <v>26.27</v>
      </c>
      <c r="D22" s="50">
        <v>4425</v>
      </c>
    </row>
    <row r="23" spans="2:5" ht="15.75" customHeight="1">
      <c r="B23" s="55" t="s">
        <v>576</v>
      </c>
      <c r="C23" s="56">
        <v>27.271999999999998</v>
      </c>
      <c r="D23" s="50">
        <v>2672</v>
      </c>
    </row>
    <row r="24" spans="2:5" ht="15.75" customHeight="1">
      <c r="B24" s="55" t="s">
        <v>577</v>
      </c>
      <c r="C24" s="56">
        <v>20.835000000000001</v>
      </c>
      <c r="D24" s="50">
        <v>3259</v>
      </c>
      <c r="E24" s="57">
        <f>D24+D8+D22+D35</f>
        <v>13393</v>
      </c>
    </row>
    <row r="25" spans="2:5" ht="15.75" customHeight="1">
      <c r="B25" s="55" t="s">
        <v>168</v>
      </c>
      <c r="C25" s="56">
        <v>13.601000000000001</v>
      </c>
      <c r="D25" s="50">
        <v>7491</v>
      </c>
      <c r="E25" s="57">
        <f>D25+D30+D28+D18+D20</f>
        <v>23275</v>
      </c>
    </row>
    <row r="26" spans="2:5" ht="15.75" customHeight="1">
      <c r="B26" s="55" t="s">
        <v>578</v>
      </c>
      <c r="C26" s="56">
        <v>8.625</v>
      </c>
      <c r="D26" s="50">
        <v>1826</v>
      </c>
    </row>
    <row r="27" spans="2:5" ht="15.75" customHeight="1">
      <c r="B27" s="55" t="s">
        <v>579</v>
      </c>
      <c r="C27" s="56">
        <v>13.502000000000001</v>
      </c>
      <c r="D27" s="50">
        <v>5309</v>
      </c>
      <c r="E27" s="57">
        <f>D27+D6+D29+D31</f>
        <v>13252</v>
      </c>
    </row>
    <row r="28" spans="2:5" ht="15.75" customHeight="1">
      <c r="B28" s="55" t="s">
        <v>580</v>
      </c>
      <c r="C28" s="56">
        <v>20.277000000000001</v>
      </c>
      <c r="D28" s="50">
        <v>1223</v>
      </c>
    </row>
    <row r="29" spans="2:5" ht="15.75" customHeight="1">
      <c r="B29" s="55" t="s">
        <v>581</v>
      </c>
      <c r="C29" s="56">
        <v>18.042999999999999</v>
      </c>
      <c r="D29" s="50">
        <v>3422</v>
      </c>
    </row>
    <row r="30" spans="2:5" ht="15.75" customHeight="1">
      <c r="B30" s="55" t="s">
        <v>582</v>
      </c>
      <c r="C30" s="56">
        <v>20.928000000000001</v>
      </c>
      <c r="D30" s="50">
        <v>2016</v>
      </c>
    </row>
    <row r="31" spans="2:5" ht="15.75" customHeight="1">
      <c r="B31" s="55" t="s">
        <v>583</v>
      </c>
      <c r="C31" s="56">
        <v>12.315</v>
      </c>
      <c r="D31" s="50">
        <v>3554</v>
      </c>
    </row>
    <row r="32" spans="2:5" ht="15.75" customHeight="1">
      <c r="B32" s="55" t="s">
        <v>584</v>
      </c>
      <c r="C32" s="56">
        <v>10.669</v>
      </c>
      <c r="D32" s="50">
        <v>1169</v>
      </c>
    </row>
    <row r="33" spans="2:4" ht="15.75" customHeight="1">
      <c r="B33" s="55" t="s">
        <v>585</v>
      </c>
      <c r="C33" s="56">
        <v>5.8029999999999999</v>
      </c>
      <c r="D33" s="50">
        <v>1978</v>
      </c>
    </row>
    <row r="34" spans="2:4" ht="15.75" customHeight="1">
      <c r="B34" s="55" t="s">
        <v>586</v>
      </c>
      <c r="C34" s="56">
        <v>9.4160000000000004</v>
      </c>
      <c r="D34" s="50">
        <v>2088</v>
      </c>
    </row>
    <row r="35" spans="2:4" ht="15.75" customHeight="1">
      <c r="B35" s="55" t="s">
        <v>587</v>
      </c>
      <c r="C35" s="56">
        <v>10.754</v>
      </c>
      <c r="D35" s="50">
        <v>3785</v>
      </c>
    </row>
    <row r="36" spans="2:4" ht="14.25" customHeight="1">
      <c r="B36" s="55" t="s">
        <v>588</v>
      </c>
      <c r="C36" s="56">
        <v>23.65</v>
      </c>
      <c r="D36" s="50">
        <v>2181</v>
      </c>
    </row>
    <row r="37" spans="2:4" ht="14.25" customHeight="1">
      <c r="B37" s="206" t="s">
        <v>589</v>
      </c>
      <c r="C37" s="206"/>
      <c r="D37" s="58">
        <f>SUM(D4:D36)</f>
        <v>124926</v>
      </c>
    </row>
  </sheetData>
  <mergeCells count="2">
    <mergeCell ref="B3:D3"/>
    <mergeCell ref="B37:C3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7"/>
  <sheetViews>
    <sheetView zoomScaleNormal="100" workbookViewId="0"/>
  </sheetViews>
  <sheetFormatPr defaultColWidth="12.6328125" defaultRowHeight="12.5"/>
  <cols>
    <col min="2" max="2" width="16.26953125" customWidth="1"/>
    <col min="4" max="4" width="30.7265625" customWidth="1"/>
  </cols>
  <sheetData>
    <row r="2" spans="2:10" ht="15.75" customHeight="1"/>
    <row r="3" spans="2:10" ht="15.75" customHeight="1">
      <c r="B3" s="207" t="s">
        <v>590</v>
      </c>
      <c r="C3" s="207"/>
      <c r="D3" s="207"/>
      <c r="E3" s="50"/>
      <c r="F3" s="52"/>
      <c r="G3" s="53"/>
      <c r="H3" s="53"/>
    </row>
    <row r="4" spans="2:10" ht="15.75" customHeight="1">
      <c r="B4" s="54" t="s">
        <v>553</v>
      </c>
      <c r="C4" s="54" t="s">
        <v>554</v>
      </c>
      <c r="D4" s="54" t="s">
        <v>555</v>
      </c>
      <c r="E4" s="50"/>
      <c r="F4" s="52"/>
      <c r="G4" s="53"/>
      <c r="H4" s="53"/>
    </row>
    <row r="5" spans="2:10" ht="15.75" customHeight="1">
      <c r="B5" s="55" t="s">
        <v>591</v>
      </c>
      <c r="C5" s="56">
        <v>43.735999999999997</v>
      </c>
      <c r="D5" s="59">
        <v>4623</v>
      </c>
      <c r="E5" s="50"/>
      <c r="F5" s="52"/>
      <c r="G5" s="53"/>
      <c r="H5" s="53"/>
    </row>
    <row r="6" spans="2:10" ht="15.75" customHeight="1">
      <c r="B6" s="55" t="s">
        <v>170</v>
      </c>
      <c r="C6" s="56">
        <v>8.9320000000000004</v>
      </c>
      <c r="D6" s="60">
        <v>16518</v>
      </c>
      <c r="E6" s="61">
        <f>D6+D16</f>
        <v>21193</v>
      </c>
      <c r="F6" s="52"/>
      <c r="G6" s="53"/>
      <c r="H6" s="53"/>
    </row>
    <row r="7" spans="2:10" ht="15.75" customHeight="1">
      <c r="B7" s="55" t="s">
        <v>172</v>
      </c>
      <c r="C7" s="56">
        <v>15.382</v>
      </c>
      <c r="D7" s="62">
        <v>22620</v>
      </c>
      <c r="E7" s="61">
        <f>D7+D8+D9+D17</f>
        <v>47169</v>
      </c>
      <c r="F7" s="52"/>
      <c r="G7" s="53"/>
      <c r="H7" s="53"/>
    </row>
    <row r="8" spans="2:10" ht="15.75" customHeight="1">
      <c r="B8" s="55" t="s">
        <v>592</v>
      </c>
      <c r="C8" s="56">
        <v>31.065999999999999</v>
      </c>
      <c r="D8" s="62">
        <v>12496</v>
      </c>
      <c r="E8" s="50"/>
      <c r="F8" s="52"/>
      <c r="G8" s="53"/>
      <c r="H8" s="53"/>
    </row>
    <row r="9" spans="2:10" ht="15.75" customHeight="1">
      <c r="B9" s="55" t="s">
        <v>593</v>
      </c>
      <c r="C9" s="56">
        <v>24.878</v>
      </c>
      <c r="D9" s="62">
        <v>7766</v>
      </c>
      <c r="E9" s="50"/>
      <c r="F9" s="52"/>
      <c r="G9" s="53"/>
      <c r="H9" s="53"/>
    </row>
    <row r="10" spans="2:10" ht="15.75" customHeight="1">
      <c r="B10" s="55" t="s">
        <v>174</v>
      </c>
      <c r="C10" s="56">
        <v>38.021999999999998</v>
      </c>
      <c r="D10" s="63">
        <v>2879</v>
      </c>
      <c r="E10" s="50"/>
      <c r="F10" s="52"/>
      <c r="G10" s="53"/>
      <c r="H10" s="53"/>
    </row>
    <row r="11" spans="2:10" ht="15.75" customHeight="1">
      <c r="B11" s="55" t="s">
        <v>175</v>
      </c>
      <c r="C11" s="56">
        <v>3.5920000000000001</v>
      </c>
      <c r="D11" s="64">
        <v>2010</v>
      </c>
      <c r="E11" s="61">
        <f>D11+D12</f>
        <v>3340</v>
      </c>
      <c r="F11" s="53"/>
      <c r="G11" s="53"/>
      <c r="H11" s="53"/>
    </row>
    <row r="12" spans="2:10" ht="15.75" customHeight="1">
      <c r="B12" s="55" t="s">
        <v>594</v>
      </c>
      <c r="C12" s="56">
        <v>3.5139999999999998</v>
      </c>
      <c r="D12" s="64">
        <v>1330</v>
      </c>
      <c r="G12" s="50">
        <v>16518</v>
      </c>
      <c r="H12" s="52" t="s">
        <v>170</v>
      </c>
      <c r="I12" s="53" t="s">
        <v>595</v>
      </c>
      <c r="J12" s="53" t="s">
        <v>596</v>
      </c>
    </row>
    <row r="13" spans="2:10" ht="15.75" customHeight="1">
      <c r="B13" s="55" t="s">
        <v>597</v>
      </c>
      <c r="C13" s="56">
        <v>89.227999999999994</v>
      </c>
      <c r="D13" s="56">
        <v>208</v>
      </c>
      <c r="G13" s="50">
        <v>22620</v>
      </c>
      <c r="H13" s="52" t="s">
        <v>172</v>
      </c>
      <c r="I13" s="53" t="s">
        <v>598</v>
      </c>
      <c r="J13" s="53" t="s">
        <v>596</v>
      </c>
    </row>
    <row r="14" spans="2:10" ht="15.75" customHeight="1">
      <c r="B14" s="55" t="s">
        <v>177</v>
      </c>
      <c r="C14" s="56">
        <v>9.2040000000000006</v>
      </c>
      <c r="D14" s="59">
        <v>4632</v>
      </c>
      <c r="E14" s="65">
        <f>D14+D5</f>
        <v>9255</v>
      </c>
      <c r="G14" s="50">
        <v>2879</v>
      </c>
      <c r="H14" s="66" t="s">
        <v>174</v>
      </c>
      <c r="I14" s="53" t="s">
        <v>599</v>
      </c>
      <c r="J14" s="53" t="s">
        <v>596</v>
      </c>
    </row>
    <row r="15" spans="2:10" ht="15.75" customHeight="1">
      <c r="B15" s="55" t="s">
        <v>600</v>
      </c>
      <c r="C15" s="56">
        <v>8.1859999999999999</v>
      </c>
      <c r="D15" s="67">
        <v>6285</v>
      </c>
      <c r="G15" s="50">
        <v>2010</v>
      </c>
      <c r="H15" s="52" t="s">
        <v>175</v>
      </c>
      <c r="I15" s="53" t="s">
        <v>601</v>
      </c>
      <c r="J15" s="53" t="s">
        <v>596</v>
      </c>
    </row>
    <row r="16" spans="2:10" ht="15.75" customHeight="1">
      <c r="B16" s="55" t="s">
        <v>602</v>
      </c>
      <c r="C16" s="56">
        <v>16.071999999999999</v>
      </c>
      <c r="D16" s="60">
        <v>4675</v>
      </c>
      <c r="G16" s="50">
        <v>4632</v>
      </c>
      <c r="H16" s="52" t="s">
        <v>177</v>
      </c>
      <c r="I16" s="53" t="s">
        <v>603</v>
      </c>
      <c r="J16" s="53" t="s">
        <v>596</v>
      </c>
    </row>
    <row r="17" spans="2:10" ht="15.75" customHeight="1">
      <c r="B17" s="55" t="s">
        <v>604</v>
      </c>
      <c r="C17" s="56">
        <v>13.288</v>
      </c>
      <c r="D17" s="62">
        <v>4287</v>
      </c>
      <c r="G17" s="50">
        <v>8377</v>
      </c>
      <c r="H17" s="52" t="s">
        <v>179</v>
      </c>
      <c r="I17" s="53" t="s">
        <v>605</v>
      </c>
      <c r="J17" s="53" t="s">
        <v>596</v>
      </c>
    </row>
    <row r="18" spans="2:10" ht="15.75" customHeight="1">
      <c r="B18" s="55" t="s">
        <v>181</v>
      </c>
      <c r="C18" s="56">
        <v>9.8209999999999997</v>
      </c>
      <c r="D18" s="68">
        <v>11295</v>
      </c>
      <c r="E18" s="65">
        <f>D18</f>
        <v>11295</v>
      </c>
      <c r="G18" s="50">
        <v>11295</v>
      </c>
      <c r="H18" s="52" t="s">
        <v>181</v>
      </c>
      <c r="I18" s="53" t="s">
        <v>606</v>
      </c>
      <c r="J18" s="53" t="s">
        <v>596</v>
      </c>
    </row>
    <row r="19" spans="2:10" ht="15.75" customHeight="1">
      <c r="B19" s="55" t="s">
        <v>182</v>
      </c>
      <c r="C19" s="56">
        <v>9.2379999999999995</v>
      </c>
      <c r="D19" s="67">
        <v>4316</v>
      </c>
      <c r="E19" s="65">
        <f>D19+D15</f>
        <v>10601</v>
      </c>
      <c r="G19" s="50">
        <v>4316</v>
      </c>
      <c r="H19" s="52" t="s">
        <v>182</v>
      </c>
      <c r="I19" s="53" t="s">
        <v>607</v>
      </c>
      <c r="J19" s="53" t="s">
        <v>596</v>
      </c>
    </row>
    <row r="20" spans="2:10" ht="15.75" customHeight="1">
      <c r="B20" s="55" t="s">
        <v>608</v>
      </c>
      <c r="C20" s="56">
        <v>301.35599999999999</v>
      </c>
      <c r="D20" s="56">
        <v>3</v>
      </c>
      <c r="G20" s="50">
        <v>12523</v>
      </c>
      <c r="H20" s="69" t="s">
        <v>184</v>
      </c>
      <c r="I20" s="53" t="s">
        <v>609</v>
      </c>
      <c r="J20" s="53" t="s">
        <v>596</v>
      </c>
    </row>
    <row r="21" spans="2:10" ht="15.75" customHeight="1">
      <c r="B21" s="55" t="s">
        <v>184</v>
      </c>
      <c r="C21" s="56">
        <v>58.424999999999997</v>
      </c>
      <c r="D21" s="63">
        <v>12523</v>
      </c>
      <c r="E21" s="65">
        <f>D21</f>
        <v>12523</v>
      </c>
    </row>
    <row r="22" spans="2:10" ht="15.75" customHeight="1">
      <c r="B22" s="207" t="s">
        <v>610</v>
      </c>
      <c r="C22" s="207"/>
      <c r="D22" s="207"/>
    </row>
    <row r="23" spans="2:10" ht="15.75" customHeight="1">
      <c r="B23" s="55" t="s">
        <v>597</v>
      </c>
      <c r="C23" s="56">
        <v>73.283000000000001</v>
      </c>
      <c r="D23" s="50">
        <v>3105</v>
      </c>
    </row>
    <row r="24" spans="2:10" ht="15.75" customHeight="1">
      <c r="B24" s="55" t="s">
        <v>179</v>
      </c>
      <c r="C24" s="56">
        <v>17.382999999999999</v>
      </c>
      <c r="D24" s="50">
        <v>8377</v>
      </c>
      <c r="E24" s="65">
        <f>D24+D25+D23+D26+D20+D13</f>
        <v>18499</v>
      </c>
    </row>
    <row r="25" spans="2:10" ht="15.75" customHeight="1">
      <c r="B25" s="55" t="s">
        <v>611</v>
      </c>
      <c r="C25" s="56">
        <v>17.646000000000001</v>
      </c>
      <c r="D25" s="50">
        <v>3964</v>
      </c>
    </row>
    <row r="26" spans="2:10" ht="15.75" customHeight="1">
      <c r="B26" s="55" t="s">
        <v>608</v>
      </c>
      <c r="C26" s="56">
        <v>143.47800000000001</v>
      </c>
      <c r="D26" s="50">
        <v>2842</v>
      </c>
    </row>
    <row r="27" spans="2:10" ht="15.75" customHeight="1">
      <c r="B27" s="206" t="s">
        <v>589</v>
      </c>
      <c r="C27" s="206"/>
      <c r="D27" s="58">
        <f>SUM(D4:D26)</f>
        <v>136754</v>
      </c>
    </row>
  </sheetData>
  <mergeCells count="3">
    <mergeCell ref="B3:D3"/>
    <mergeCell ref="B22:D22"/>
    <mergeCell ref="B27:C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E27"/>
  <sheetViews>
    <sheetView zoomScaleNormal="100" workbookViewId="0"/>
  </sheetViews>
  <sheetFormatPr defaultColWidth="12.6328125" defaultRowHeight="12.5"/>
  <cols>
    <col min="4" max="4" width="26.26953125" customWidth="1"/>
  </cols>
  <sheetData>
    <row r="3" spans="2:5" ht="15.75" customHeight="1">
      <c r="B3" s="206" t="s">
        <v>612</v>
      </c>
      <c r="C3" s="206"/>
      <c r="D3" s="206"/>
    </row>
    <row r="4" spans="2:5" ht="15.75" customHeight="1">
      <c r="B4" s="54" t="s">
        <v>553</v>
      </c>
      <c r="C4" s="54" t="s">
        <v>554</v>
      </c>
      <c r="D4" s="54" t="s">
        <v>555</v>
      </c>
    </row>
    <row r="5" spans="2:5" ht="15.75" customHeight="1">
      <c r="B5" s="55" t="s">
        <v>613</v>
      </c>
      <c r="C5" s="70">
        <v>38.065991099999998</v>
      </c>
      <c r="D5" s="56">
        <f>ROUNDUP(5782.422,0)</f>
        <v>5783</v>
      </c>
    </row>
    <row r="6" spans="2:5" ht="15.75" customHeight="1">
      <c r="B6" s="55" t="s">
        <v>158</v>
      </c>
      <c r="C6" s="71">
        <v>28.448189209999999</v>
      </c>
      <c r="D6" s="56">
        <f>ROUNDUP(28495.968,0)</f>
        <v>28496</v>
      </c>
    </row>
    <row r="7" spans="2:5" ht="15.75" customHeight="1">
      <c r="B7" s="55" t="s">
        <v>614</v>
      </c>
      <c r="C7" s="70">
        <v>58.323776860000002</v>
      </c>
      <c r="D7" s="56">
        <f>ROUNDUP(8539.297,0)</f>
        <v>8540</v>
      </c>
    </row>
    <row r="8" spans="2:5" ht="15.75" customHeight="1">
      <c r="B8" s="55" t="s">
        <v>160</v>
      </c>
      <c r="C8" s="70">
        <v>20.49270945</v>
      </c>
      <c r="D8" s="56">
        <f>ROUNDUP(17215.408,0)</f>
        <v>17216</v>
      </c>
      <c r="E8" s="47">
        <f>D8+D10+D5</f>
        <v>26518</v>
      </c>
    </row>
    <row r="9" spans="2:5" ht="15.75" customHeight="1">
      <c r="B9" s="55" t="s">
        <v>615</v>
      </c>
      <c r="C9" s="70">
        <v>30.513051789999999</v>
      </c>
      <c r="D9" s="56">
        <f>ROUNDUP(2708.272,0)</f>
        <v>2709</v>
      </c>
    </row>
    <row r="10" spans="2:5" ht="15.75" customHeight="1">
      <c r="B10" s="55" t="s">
        <v>616</v>
      </c>
      <c r="C10" s="70">
        <v>25.326843520000001</v>
      </c>
      <c r="D10" s="56">
        <f>ROUNDUP(3518.842,0)</f>
        <v>3519</v>
      </c>
    </row>
    <row r="11" spans="2:5" ht="15.75" customHeight="1">
      <c r="B11" s="206" t="s">
        <v>589</v>
      </c>
      <c r="C11" s="206"/>
      <c r="D11" s="70">
        <f>SUM(D5:D10)</f>
        <v>66263</v>
      </c>
    </row>
    <row r="27" spans="4:4" ht="15.75" customHeight="1">
      <c r="D27" s="57">
        <f>Sulawesi!D37+Kalimantan!D27+D11</f>
        <v>327943</v>
      </c>
    </row>
  </sheetData>
  <mergeCells count="2">
    <mergeCell ref="B3:D3"/>
    <mergeCell ref="B11:C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30"/>
  <sheetViews>
    <sheetView zoomScaleNormal="100" workbookViewId="0"/>
  </sheetViews>
  <sheetFormatPr defaultColWidth="12.6328125" defaultRowHeight="12.5"/>
  <cols>
    <col min="2" max="2" width="12.90625" customWidth="1"/>
  </cols>
  <sheetData>
    <row r="3" spans="2:7" ht="15.75" customHeight="1">
      <c r="B3" s="72" t="s">
        <v>617</v>
      </c>
      <c r="C3" s="72" t="s">
        <v>618</v>
      </c>
      <c r="D3" s="72" t="s">
        <v>154</v>
      </c>
      <c r="E3" s="72" t="s">
        <v>545</v>
      </c>
      <c r="F3" s="72" t="s">
        <v>619</v>
      </c>
      <c r="G3" s="72" t="s">
        <v>620</v>
      </c>
    </row>
    <row r="4" spans="2:7" ht="15.75" customHeight="1">
      <c r="B4" s="73" t="s">
        <v>621</v>
      </c>
      <c r="C4" s="73" t="s">
        <v>551</v>
      </c>
      <c r="D4" s="73" t="s">
        <v>158</v>
      </c>
      <c r="E4" s="73" t="s">
        <v>552</v>
      </c>
      <c r="F4" s="73" t="s">
        <v>45</v>
      </c>
      <c r="G4" s="74">
        <v>12150000</v>
      </c>
    </row>
    <row r="5" spans="2:7" ht="15.75" customHeight="1">
      <c r="B5" s="73" t="s">
        <v>621</v>
      </c>
      <c r="C5" s="73" t="s">
        <v>551</v>
      </c>
      <c r="D5" s="73" t="s">
        <v>158</v>
      </c>
      <c r="E5" s="73" t="s">
        <v>552</v>
      </c>
      <c r="F5" s="73" t="s">
        <v>49</v>
      </c>
      <c r="G5" s="74">
        <v>8700000</v>
      </c>
    </row>
    <row r="6" spans="2:7" ht="15.75" customHeight="1">
      <c r="B6" s="73" t="s">
        <v>621</v>
      </c>
      <c r="C6" s="73" t="s">
        <v>558</v>
      </c>
      <c r="D6" s="73" t="s">
        <v>160</v>
      </c>
      <c r="E6" s="73" t="s">
        <v>552</v>
      </c>
      <c r="F6" s="73" t="s">
        <v>45</v>
      </c>
      <c r="G6" s="74">
        <v>21440000</v>
      </c>
    </row>
    <row r="7" spans="2:7" ht="15.75" customHeight="1">
      <c r="B7" s="73" t="s">
        <v>621</v>
      </c>
      <c r="C7" s="73" t="s">
        <v>558</v>
      </c>
      <c r="D7" s="73" t="s">
        <v>160</v>
      </c>
      <c r="E7" s="73" t="s">
        <v>552</v>
      </c>
      <c r="F7" s="73" t="s">
        <v>49</v>
      </c>
      <c r="G7" s="74">
        <v>16240000</v>
      </c>
    </row>
    <row r="8" spans="2:7" ht="15.75" customHeight="1">
      <c r="B8" s="73" t="s">
        <v>621</v>
      </c>
      <c r="C8" s="73" t="s">
        <v>558</v>
      </c>
      <c r="D8" s="73" t="s">
        <v>160</v>
      </c>
      <c r="E8" s="73" t="s">
        <v>552</v>
      </c>
      <c r="F8" s="73" t="s">
        <v>32</v>
      </c>
      <c r="G8" s="74">
        <v>12100000</v>
      </c>
    </row>
    <row r="9" spans="2:7" ht="15.75" customHeight="1">
      <c r="B9" s="73" t="s">
        <v>550</v>
      </c>
      <c r="C9" s="73" t="s">
        <v>560</v>
      </c>
      <c r="D9" s="73" t="s">
        <v>164</v>
      </c>
      <c r="E9" s="73" t="s">
        <v>552</v>
      </c>
      <c r="F9" s="73" t="s">
        <v>43</v>
      </c>
      <c r="G9" s="74">
        <v>17000000</v>
      </c>
    </row>
    <row r="10" spans="2:7" ht="15.75" customHeight="1">
      <c r="B10" s="73" t="s">
        <v>550</v>
      </c>
      <c r="C10" s="73" t="s">
        <v>556</v>
      </c>
      <c r="D10" s="73" t="s">
        <v>162</v>
      </c>
      <c r="E10" s="73" t="s">
        <v>552</v>
      </c>
      <c r="F10" s="73" t="s">
        <v>43</v>
      </c>
      <c r="G10" s="74">
        <v>28460000</v>
      </c>
    </row>
    <row r="11" spans="2:7" ht="15.75" customHeight="1">
      <c r="B11" s="73" t="s">
        <v>550</v>
      </c>
      <c r="C11" s="73" t="s">
        <v>556</v>
      </c>
      <c r="D11" s="73" t="s">
        <v>162</v>
      </c>
      <c r="E11" s="73" t="s">
        <v>552</v>
      </c>
      <c r="F11" s="73" t="s">
        <v>47</v>
      </c>
      <c r="G11" s="74">
        <v>17200000</v>
      </c>
    </row>
    <row r="12" spans="2:7" ht="15.75" customHeight="1">
      <c r="B12" s="73" t="s">
        <v>550</v>
      </c>
      <c r="C12" s="73" t="s">
        <v>564</v>
      </c>
      <c r="D12" s="73" t="s">
        <v>168</v>
      </c>
      <c r="E12" s="73" t="s">
        <v>552</v>
      </c>
      <c r="F12" s="73" t="s">
        <v>43</v>
      </c>
      <c r="G12" s="74">
        <v>17250000</v>
      </c>
    </row>
    <row r="13" spans="2:7" ht="15.75" customHeight="1">
      <c r="B13" s="73" t="s">
        <v>550</v>
      </c>
      <c r="C13" s="73" t="s">
        <v>564</v>
      </c>
      <c r="D13" s="73" t="s">
        <v>168</v>
      </c>
      <c r="E13" s="73" t="s">
        <v>552</v>
      </c>
      <c r="F13" s="73" t="s">
        <v>47</v>
      </c>
      <c r="G13" s="74">
        <v>10850000</v>
      </c>
    </row>
    <row r="14" spans="2:7" ht="15.75" customHeight="1">
      <c r="B14" s="73" t="s">
        <v>550</v>
      </c>
      <c r="C14" s="73" t="s">
        <v>562</v>
      </c>
      <c r="D14" s="73" t="s">
        <v>166</v>
      </c>
      <c r="E14" s="73" t="s">
        <v>552</v>
      </c>
      <c r="F14" s="73" t="s">
        <v>43</v>
      </c>
      <c r="G14" s="74">
        <v>21900000</v>
      </c>
    </row>
    <row r="15" spans="2:7" ht="15.75" customHeight="1">
      <c r="B15" s="73" t="s">
        <v>550</v>
      </c>
      <c r="C15" s="73" t="s">
        <v>562</v>
      </c>
      <c r="D15" s="73" t="s">
        <v>166</v>
      </c>
      <c r="E15" s="73" t="s">
        <v>552</v>
      </c>
      <c r="F15" s="73" t="s">
        <v>47</v>
      </c>
      <c r="G15" s="74">
        <v>13200000</v>
      </c>
    </row>
    <row r="16" spans="2:7" ht="15.75" customHeight="1">
      <c r="B16" s="73" t="s">
        <v>622</v>
      </c>
      <c r="C16" s="73" t="s">
        <v>595</v>
      </c>
      <c r="D16" s="73" t="s">
        <v>170</v>
      </c>
      <c r="E16" s="73" t="s">
        <v>596</v>
      </c>
      <c r="F16" s="73" t="s">
        <v>43</v>
      </c>
      <c r="G16" s="75">
        <v>18628871.120000001</v>
      </c>
    </row>
    <row r="17" spans="2:7" ht="15.75" customHeight="1">
      <c r="B17" s="73" t="s">
        <v>622</v>
      </c>
      <c r="C17" s="73" t="s">
        <v>595</v>
      </c>
      <c r="D17" s="73" t="s">
        <v>170</v>
      </c>
      <c r="E17" s="73" t="s">
        <v>596</v>
      </c>
      <c r="F17" s="73" t="s">
        <v>47</v>
      </c>
      <c r="G17" s="75">
        <v>9803979.3259999994</v>
      </c>
    </row>
    <row r="18" spans="2:7" ht="15.75" customHeight="1">
      <c r="B18" s="73" t="s">
        <v>622</v>
      </c>
      <c r="C18" s="73" t="s">
        <v>598</v>
      </c>
      <c r="D18" s="73" t="s">
        <v>172</v>
      </c>
      <c r="E18" s="73" t="s">
        <v>596</v>
      </c>
      <c r="F18" s="73" t="s">
        <v>43</v>
      </c>
      <c r="G18" s="75">
        <v>14339078.77</v>
      </c>
    </row>
    <row r="19" spans="2:7" ht="15.75" customHeight="1">
      <c r="B19" s="73" t="s">
        <v>622</v>
      </c>
      <c r="C19" s="73" t="s">
        <v>598</v>
      </c>
      <c r="D19" s="73" t="s">
        <v>172</v>
      </c>
      <c r="E19" s="73" t="s">
        <v>596</v>
      </c>
      <c r="F19" s="73" t="s">
        <v>47</v>
      </c>
      <c r="G19" s="75">
        <v>11347313.720000001</v>
      </c>
    </row>
    <row r="20" spans="2:7" ht="15.75" customHeight="1">
      <c r="B20" s="73" t="s">
        <v>622</v>
      </c>
      <c r="C20" s="73" t="s">
        <v>599</v>
      </c>
      <c r="D20" s="73" t="s">
        <v>174</v>
      </c>
      <c r="E20" s="73" t="s">
        <v>596</v>
      </c>
      <c r="F20" s="73" t="s">
        <v>47</v>
      </c>
      <c r="G20" s="75">
        <v>15072449.279999999</v>
      </c>
    </row>
    <row r="21" spans="2:7" ht="15.75" customHeight="1">
      <c r="B21" s="73" t="s">
        <v>622</v>
      </c>
      <c r="C21" s="73" t="s">
        <v>601</v>
      </c>
      <c r="D21" s="73" t="s">
        <v>175</v>
      </c>
      <c r="E21" s="73" t="s">
        <v>596</v>
      </c>
      <c r="F21" s="73" t="s">
        <v>47</v>
      </c>
      <c r="G21" s="75">
        <v>17970148.719999999</v>
      </c>
    </row>
    <row r="22" spans="2:7" ht="15.75" customHeight="1">
      <c r="B22" s="73" t="s">
        <v>622</v>
      </c>
      <c r="C22" s="73" t="s">
        <v>603</v>
      </c>
      <c r="D22" s="73" t="s">
        <v>177</v>
      </c>
      <c r="E22" s="73" t="s">
        <v>596</v>
      </c>
      <c r="F22" s="73" t="s">
        <v>43</v>
      </c>
      <c r="G22" s="75">
        <v>22922776.600000001</v>
      </c>
    </row>
    <row r="23" spans="2:7" ht="15.75" customHeight="1">
      <c r="B23" s="73" t="s">
        <v>622</v>
      </c>
      <c r="C23" s="73" t="s">
        <v>603</v>
      </c>
      <c r="D23" s="73" t="s">
        <v>177</v>
      </c>
      <c r="E23" s="73" t="s">
        <v>596</v>
      </c>
      <c r="F23" s="73" t="s">
        <v>47</v>
      </c>
      <c r="G23" s="75">
        <v>13938807.609999999</v>
      </c>
    </row>
    <row r="24" spans="2:7" ht="15.75" customHeight="1">
      <c r="B24" s="73" t="s">
        <v>622</v>
      </c>
      <c r="C24" s="73" t="s">
        <v>605</v>
      </c>
      <c r="D24" s="73" t="s">
        <v>179</v>
      </c>
      <c r="E24" s="73" t="s">
        <v>596</v>
      </c>
      <c r="F24" s="73" t="s">
        <v>43</v>
      </c>
      <c r="G24" s="75">
        <v>17280488.57</v>
      </c>
    </row>
    <row r="25" spans="2:7" ht="15.75" customHeight="1">
      <c r="B25" s="73" t="s">
        <v>622</v>
      </c>
      <c r="C25" s="73" t="s">
        <v>606</v>
      </c>
      <c r="D25" s="73" t="s">
        <v>181</v>
      </c>
      <c r="E25" s="73" t="s">
        <v>596</v>
      </c>
      <c r="F25" s="73" t="s">
        <v>43</v>
      </c>
      <c r="G25" s="74">
        <v>22485625</v>
      </c>
    </row>
    <row r="26" spans="2:7" ht="15.75" customHeight="1">
      <c r="B26" s="73" t="s">
        <v>622</v>
      </c>
      <c r="C26" s="73" t="s">
        <v>606</v>
      </c>
      <c r="D26" s="73" t="s">
        <v>181</v>
      </c>
      <c r="E26" s="73" t="s">
        <v>596</v>
      </c>
      <c r="F26" s="73" t="s">
        <v>47</v>
      </c>
      <c r="G26" s="74">
        <v>10885317</v>
      </c>
    </row>
    <row r="27" spans="2:7" ht="15.75" customHeight="1">
      <c r="B27" s="73" t="s">
        <v>622</v>
      </c>
      <c r="C27" s="73" t="s">
        <v>607</v>
      </c>
      <c r="D27" s="73" t="s">
        <v>182</v>
      </c>
      <c r="E27" s="73" t="s">
        <v>596</v>
      </c>
      <c r="F27" s="73" t="s">
        <v>43</v>
      </c>
      <c r="G27" s="75">
        <v>25299677.420000002</v>
      </c>
    </row>
    <row r="28" spans="2:7" ht="15.75" customHeight="1">
      <c r="B28" s="73" t="s">
        <v>622</v>
      </c>
      <c r="C28" s="73" t="s">
        <v>607</v>
      </c>
      <c r="D28" s="73" t="s">
        <v>182</v>
      </c>
      <c r="E28" s="73" t="s">
        <v>596</v>
      </c>
      <c r="F28" s="73" t="s">
        <v>47</v>
      </c>
      <c r="G28" s="75">
        <v>13678136.73</v>
      </c>
    </row>
    <row r="29" spans="2:7" ht="15.75" customHeight="1">
      <c r="B29" s="73" t="s">
        <v>622</v>
      </c>
      <c r="C29" s="73" t="s">
        <v>609</v>
      </c>
      <c r="D29" s="73" t="s">
        <v>184</v>
      </c>
      <c r="E29" s="73" t="s">
        <v>596</v>
      </c>
      <c r="F29" s="73" t="s">
        <v>43</v>
      </c>
      <c r="G29" s="75">
        <v>28132859.75</v>
      </c>
    </row>
    <row r="30" spans="2:7" ht="15.75" customHeight="1">
      <c r="B30" s="73" t="s">
        <v>622</v>
      </c>
      <c r="C30" s="73" t="s">
        <v>609</v>
      </c>
      <c r="D30" s="73" t="s">
        <v>184</v>
      </c>
      <c r="E30" s="73" t="s">
        <v>596</v>
      </c>
      <c r="F30" s="73" t="s">
        <v>47</v>
      </c>
      <c r="G30" s="75">
        <v>16174145.27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B1:J28"/>
  <sheetViews>
    <sheetView showGridLines="0" zoomScaleNormal="100" workbookViewId="0"/>
  </sheetViews>
  <sheetFormatPr defaultColWidth="12.6328125" defaultRowHeight="12.5"/>
  <cols>
    <col min="1" max="1" width="3" customWidth="1"/>
    <col min="2" max="2" width="8" customWidth="1"/>
    <col min="3" max="3" width="13" customWidth="1"/>
    <col min="4" max="4" width="12" customWidth="1"/>
    <col min="5" max="5" width="11" customWidth="1"/>
    <col min="6" max="9" width="13" customWidth="1"/>
    <col min="10" max="10" width="18" customWidth="1"/>
    <col min="11" max="11" width="3" customWidth="1"/>
  </cols>
  <sheetData>
    <row r="1" spans="2:10" ht="27.75" customHeight="1">
      <c r="B1" s="14" t="s">
        <v>623</v>
      </c>
      <c r="C1" s="14"/>
      <c r="D1" s="14"/>
      <c r="E1" s="14"/>
      <c r="F1" s="14"/>
      <c r="G1" s="14"/>
      <c r="H1" s="14"/>
      <c r="I1" s="14"/>
      <c r="J1" s="14"/>
    </row>
    <row r="2" spans="2:10" ht="15.75" customHeight="1">
      <c r="B2" s="11" t="s">
        <v>624</v>
      </c>
      <c r="C2" s="11"/>
      <c r="D2" s="11"/>
      <c r="E2" s="11"/>
      <c r="F2" s="11"/>
      <c r="G2" s="11"/>
      <c r="H2" s="11"/>
      <c r="I2" s="11"/>
      <c r="J2" s="11"/>
    </row>
    <row r="4" spans="2:10" ht="36" customHeight="1">
      <c r="B4" s="16" t="s">
        <v>625</v>
      </c>
      <c r="C4" s="16" t="s">
        <v>154</v>
      </c>
      <c r="D4" s="16" t="s">
        <v>545</v>
      </c>
      <c r="E4" s="16" t="s">
        <v>626</v>
      </c>
      <c r="F4" s="16" t="s">
        <v>627</v>
      </c>
      <c r="G4" s="16" t="s">
        <v>628</v>
      </c>
      <c r="H4" s="16" t="s">
        <v>629</v>
      </c>
      <c r="I4" s="16" t="s">
        <v>630</v>
      </c>
      <c r="J4" s="16" t="s">
        <v>631</v>
      </c>
    </row>
    <row r="5" spans="2:10" ht="15.75" customHeight="1">
      <c r="B5" s="76" t="s">
        <v>551</v>
      </c>
      <c r="C5" s="77" t="s">
        <v>158</v>
      </c>
      <c r="D5" s="78" t="s">
        <v>552</v>
      </c>
      <c r="E5" s="33">
        <v>28496</v>
      </c>
      <c r="F5" s="33">
        <v>0</v>
      </c>
      <c r="G5" s="79">
        <v>28496</v>
      </c>
      <c r="H5" s="80" t="s">
        <v>632</v>
      </c>
      <c r="I5" s="81">
        <v>18</v>
      </c>
      <c r="J5" s="33">
        <v>218700000</v>
      </c>
    </row>
    <row r="6" spans="2:10" ht="15.75" customHeight="1">
      <c r="B6" s="76" t="s">
        <v>558</v>
      </c>
      <c r="C6" s="77" t="s">
        <v>160</v>
      </c>
      <c r="D6" s="78" t="s">
        <v>552</v>
      </c>
      <c r="E6" s="33">
        <v>17216</v>
      </c>
      <c r="F6" s="33">
        <v>20551</v>
      </c>
      <c r="G6" s="79">
        <v>37767</v>
      </c>
      <c r="H6" s="80" t="s">
        <v>633</v>
      </c>
      <c r="I6" s="81">
        <v>24</v>
      </c>
      <c r="J6" s="33">
        <v>514560000</v>
      </c>
    </row>
    <row r="7" spans="2:10" ht="15.75" customHeight="1">
      <c r="B7" s="76" t="s">
        <v>556</v>
      </c>
      <c r="C7" s="77" t="s">
        <v>162</v>
      </c>
      <c r="D7" s="78" t="s">
        <v>552</v>
      </c>
      <c r="E7" s="33">
        <v>6252</v>
      </c>
      <c r="F7" s="33">
        <v>8484</v>
      </c>
      <c r="G7" s="79">
        <v>14736</v>
      </c>
      <c r="H7" s="80" t="s">
        <v>634</v>
      </c>
      <c r="I7" s="81">
        <v>7</v>
      </c>
      <c r="J7" s="33">
        <v>187960000</v>
      </c>
    </row>
    <row r="8" spans="2:10" ht="15.75" customHeight="1">
      <c r="B8" s="76" t="s">
        <v>560</v>
      </c>
      <c r="C8" s="77" t="s">
        <v>164</v>
      </c>
      <c r="D8" s="78" t="s">
        <v>552</v>
      </c>
      <c r="E8" s="33">
        <v>8800</v>
      </c>
      <c r="F8" s="33">
        <v>53870</v>
      </c>
      <c r="G8" s="79">
        <v>62670</v>
      </c>
      <c r="H8" s="80" t="s">
        <v>635</v>
      </c>
      <c r="I8" s="81">
        <v>27</v>
      </c>
      <c r="J8" s="33">
        <v>459000000</v>
      </c>
    </row>
    <row r="9" spans="2:10" ht="15.75" customHeight="1">
      <c r="B9" s="76" t="s">
        <v>562</v>
      </c>
      <c r="C9" s="77" t="s">
        <v>166</v>
      </c>
      <c r="D9" s="78" t="s">
        <v>552</v>
      </c>
      <c r="E9" s="33">
        <v>6680</v>
      </c>
      <c r="F9" s="33">
        <v>18738</v>
      </c>
      <c r="G9" s="79">
        <v>25418</v>
      </c>
      <c r="H9" s="80" t="s">
        <v>636</v>
      </c>
      <c r="I9" s="81">
        <v>11</v>
      </c>
      <c r="J9" s="33">
        <v>240900000</v>
      </c>
    </row>
    <row r="10" spans="2:10" ht="15.75" customHeight="1">
      <c r="B10" s="76" t="s">
        <v>564</v>
      </c>
      <c r="C10" s="77" t="s">
        <v>168</v>
      </c>
      <c r="D10" s="78" t="s">
        <v>552</v>
      </c>
      <c r="E10" s="33">
        <v>7491</v>
      </c>
      <c r="F10" s="33">
        <v>15784</v>
      </c>
      <c r="G10" s="79">
        <v>23275</v>
      </c>
      <c r="H10" s="80" t="s">
        <v>637</v>
      </c>
      <c r="I10" s="81">
        <v>10</v>
      </c>
      <c r="J10" s="33">
        <v>172500000</v>
      </c>
    </row>
    <row r="11" spans="2:10" ht="15.75" customHeight="1">
      <c r="B11" s="76" t="s">
        <v>595</v>
      </c>
      <c r="C11" s="77" t="s">
        <v>170</v>
      </c>
      <c r="D11" s="78" t="s">
        <v>596</v>
      </c>
      <c r="E11" s="33">
        <v>16518</v>
      </c>
      <c r="F11" s="33">
        <v>4675</v>
      </c>
      <c r="G11" s="79">
        <v>21193</v>
      </c>
      <c r="H11" s="80" t="s">
        <v>638</v>
      </c>
      <c r="I11" s="81">
        <v>9</v>
      </c>
      <c r="J11" s="33">
        <v>167659840.08000001</v>
      </c>
    </row>
    <row r="12" spans="2:10" ht="15.75" customHeight="1">
      <c r="B12" s="76" t="s">
        <v>598</v>
      </c>
      <c r="C12" s="77" t="s">
        <v>172</v>
      </c>
      <c r="D12" s="78" t="s">
        <v>596</v>
      </c>
      <c r="E12" s="33">
        <v>22620</v>
      </c>
      <c r="F12" s="33">
        <v>24549</v>
      </c>
      <c r="G12" s="79">
        <v>47169</v>
      </c>
      <c r="H12" s="80" t="s">
        <v>639</v>
      </c>
      <c r="I12" s="81">
        <v>20</v>
      </c>
      <c r="J12" s="33">
        <v>286781575.39999998</v>
      </c>
    </row>
    <row r="13" spans="2:10" ht="15.75" customHeight="1">
      <c r="B13" s="76" t="s">
        <v>599</v>
      </c>
      <c r="C13" s="77" t="s">
        <v>174</v>
      </c>
      <c r="D13" s="78" t="s">
        <v>596</v>
      </c>
      <c r="E13" s="33">
        <v>2879</v>
      </c>
      <c r="F13" s="33">
        <v>0</v>
      </c>
      <c r="G13" s="79">
        <v>2879</v>
      </c>
      <c r="H13" s="80" t="s">
        <v>640</v>
      </c>
      <c r="I13" s="81">
        <v>3</v>
      </c>
      <c r="J13" s="33">
        <v>45217347.840000004</v>
      </c>
    </row>
    <row r="14" spans="2:10" ht="15.75" customHeight="1">
      <c r="B14" s="76" t="s">
        <v>601</v>
      </c>
      <c r="C14" s="77" t="s">
        <v>175</v>
      </c>
      <c r="D14" s="78" t="s">
        <v>596</v>
      </c>
      <c r="E14" s="33">
        <v>2010</v>
      </c>
      <c r="F14" s="33">
        <v>1330</v>
      </c>
      <c r="G14" s="79">
        <v>3340</v>
      </c>
      <c r="H14" s="80" t="s">
        <v>640</v>
      </c>
      <c r="I14" s="81">
        <v>3</v>
      </c>
      <c r="J14" s="33">
        <v>53910446.159999996</v>
      </c>
    </row>
    <row r="15" spans="2:10" ht="15.75" customHeight="1">
      <c r="B15" s="76" t="s">
        <v>603</v>
      </c>
      <c r="C15" s="77" t="s">
        <v>177</v>
      </c>
      <c r="D15" s="78" t="s">
        <v>596</v>
      </c>
      <c r="E15" s="33">
        <v>4632</v>
      </c>
      <c r="F15" s="33">
        <v>4623</v>
      </c>
      <c r="G15" s="79">
        <v>9255</v>
      </c>
      <c r="H15" s="80" t="s">
        <v>641</v>
      </c>
      <c r="I15" s="81">
        <v>4</v>
      </c>
      <c r="J15" s="33">
        <v>91691106.400000006</v>
      </c>
    </row>
    <row r="16" spans="2:10" ht="15.75" customHeight="1">
      <c r="B16" s="76" t="s">
        <v>605</v>
      </c>
      <c r="C16" s="77" t="s">
        <v>179</v>
      </c>
      <c r="D16" s="78" t="s">
        <v>596</v>
      </c>
      <c r="E16" s="33">
        <v>8377</v>
      </c>
      <c r="F16" s="33">
        <v>10122</v>
      </c>
      <c r="G16" s="79">
        <v>18499</v>
      </c>
      <c r="H16" s="80" t="s">
        <v>642</v>
      </c>
      <c r="I16" s="81">
        <v>8</v>
      </c>
      <c r="J16" s="33">
        <v>138243908.56</v>
      </c>
    </row>
    <row r="17" spans="2:10" ht="15.75" customHeight="1">
      <c r="B17" s="76" t="s">
        <v>606</v>
      </c>
      <c r="C17" s="77" t="s">
        <v>181</v>
      </c>
      <c r="D17" s="78" t="s">
        <v>596</v>
      </c>
      <c r="E17" s="33">
        <v>11295</v>
      </c>
      <c r="F17" s="33">
        <v>0</v>
      </c>
      <c r="G17" s="79">
        <v>11295</v>
      </c>
      <c r="H17" s="80" t="s">
        <v>643</v>
      </c>
      <c r="I17" s="81">
        <v>10</v>
      </c>
      <c r="J17" s="33">
        <v>108853170</v>
      </c>
    </row>
    <row r="18" spans="2:10" ht="15.75" customHeight="1">
      <c r="B18" s="76" t="s">
        <v>607</v>
      </c>
      <c r="C18" s="77" t="s">
        <v>182</v>
      </c>
      <c r="D18" s="78" t="s">
        <v>596</v>
      </c>
      <c r="E18" s="33">
        <v>4316</v>
      </c>
      <c r="F18" s="33">
        <v>6285</v>
      </c>
      <c r="G18" s="79">
        <v>10601</v>
      </c>
      <c r="H18" s="80" t="s">
        <v>644</v>
      </c>
      <c r="I18" s="81">
        <v>5</v>
      </c>
      <c r="J18" s="33">
        <v>126498387.09999999</v>
      </c>
    </row>
    <row r="19" spans="2:10" ht="15.75" customHeight="1">
      <c r="B19" s="76" t="s">
        <v>609</v>
      </c>
      <c r="C19" s="77" t="s">
        <v>184</v>
      </c>
      <c r="D19" s="78" t="s">
        <v>596</v>
      </c>
      <c r="E19" s="33">
        <v>12523</v>
      </c>
      <c r="F19" s="33">
        <v>0</v>
      </c>
      <c r="G19" s="79">
        <v>12523</v>
      </c>
      <c r="H19" s="80" t="s">
        <v>645</v>
      </c>
      <c r="I19" s="81">
        <v>6</v>
      </c>
      <c r="J19" s="33">
        <v>156838443.02000001</v>
      </c>
    </row>
    <row r="20" spans="2:10" ht="15.75" customHeight="1">
      <c r="B20" s="208" t="s">
        <v>646</v>
      </c>
      <c r="C20" s="208"/>
      <c r="D20" s="208"/>
      <c r="E20" s="208"/>
      <c r="F20" s="208"/>
      <c r="G20" s="208"/>
      <c r="H20" s="208"/>
      <c r="I20" s="208"/>
      <c r="J20" s="82">
        <f>SUM(J5:J19)</f>
        <v>2969314224.5599999</v>
      </c>
    </row>
    <row r="22" spans="2:10" ht="15.75" customHeight="1">
      <c r="B22" s="209" t="s">
        <v>647</v>
      </c>
      <c r="C22" s="209"/>
      <c r="D22" s="209"/>
      <c r="E22" s="209"/>
      <c r="F22" s="209"/>
      <c r="G22" s="209"/>
      <c r="H22" s="209"/>
      <c r="I22" s="209"/>
      <c r="J22" s="209"/>
    </row>
    <row r="23" spans="2:10" ht="13.5" customHeight="1">
      <c r="B23" s="210" t="s">
        <v>648</v>
      </c>
      <c r="C23" s="210"/>
      <c r="D23" s="210"/>
      <c r="E23" s="210"/>
      <c r="F23" s="210"/>
      <c r="G23" s="210"/>
      <c r="H23" s="210"/>
      <c r="I23" s="210"/>
      <c r="J23" s="210"/>
    </row>
    <row r="24" spans="2:10" ht="13.5" customHeight="1">
      <c r="B24" s="210" t="s">
        <v>649</v>
      </c>
      <c r="C24" s="210"/>
      <c r="D24" s="210"/>
      <c r="E24" s="210"/>
      <c r="F24" s="210"/>
      <c r="G24" s="210"/>
      <c r="H24" s="210"/>
      <c r="I24" s="210"/>
      <c r="J24" s="210"/>
    </row>
    <row r="25" spans="2:10" ht="13.5" customHeight="1">
      <c r="B25" s="210" t="s">
        <v>650</v>
      </c>
      <c r="C25" s="210"/>
      <c r="D25" s="210"/>
      <c r="E25" s="210"/>
      <c r="F25" s="210"/>
      <c r="G25" s="210"/>
      <c r="H25" s="210"/>
      <c r="I25" s="210"/>
      <c r="J25" s="210"/>
    </row>
    <row r="26" spans="2:10" ht="13.5" customHeight="1">
      <c r="B26" s="210" t="s">
        <v>651</v>
      </c>
      <c r="C26" s="210"/>
      <c r="D26" s="210"/>
      <c r="E26" s="210"/>
      <c r="F26" s="210"/>
      <c r="G26" s="210"/>
      <c r="H26" s="210"/>
      <c r="I26" s="210"/>
      <c r="J26" s="210"/>
    </row>
    <row r="27" spans="2:10">
      <c r="B27" s="210" t="s">
        <v>652</v>
      </c>
      <c r="C27" s="210"/>
      <c r="D27" s="210"/>
      <c r="E27" s="210"/>
      <c r="F27" s="210"/>
      <c r="G27" s="210"/>
      <c r="H27" s="210"/>
      <c r="I27" s="210"/>
      <c r="J27" s="210"/>
    </row>
    <row r="28" spans="2:10">
      <c r="B28" s="210" t="s">
        <v>653</v>
      </c>
      <c r="C28" s="210"/>
      <c r="D28" s="210"/>
      <c r="E28" s="210"/>
      <c r="F28" s="210"/>
      <c r="G28" s="210"/>
      <c r="H28" s="210"/>
      <c r="I28" s="210"/>
      <c r="J28" s="210"/>
    </row>
  </sheetData>
  <mergeCells count="10">
    <mergeCell ref="B24:J24"/>
    <mergeCell ref="B25:J25"/>
    <mergeCell ref="B26:J26"/>
    <mergeCell ref="B27:J27"/>
    <mergeCell ref="B28:J28"/>
    <mergeCell ref="B1:J1"/>
    <mergeCell ref="B2:J2"/>
    <mergeCell ref="B20:I20"/>
    <mergeCell ref="B22:J22"/>
    <mergeCell ref="B23:J2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4"/>
  <sheetViews>
    <sheetView topLeftCell="M9" zoomScaleNormal="100" workbookViewId="0"/>
  </sheetViews>
  <sheetFormatPr defaultColWidth="12.6328125" defaultRowHeight="12.5"/>
  <cols>
    <col min="3" max="3" width="14.453125" customWidth="1"/>
    <col min="4" max="4" width="9.36328125" customWidth="1"/>
    <col min="5" max="5" width="12.7265625" customWidth="1"/>
    <col min="6" max="6" width="18" customWidth="1"/>
    <col min="16" max="16" width="20.26953125" customWidth="1"/>
    <col min="18" max="18" width="20.90625" customWidth="1"/>
    <col min="22" max="22" width="24.90625" customWidth="1"/>
  </cols>
  <sheetData>
    <row r="1" spans="1:26" ht="15.75" customHeight="1">
      <c r="E1" s="211" t="s">
        <v>654</v>
      </c>
      <c r="F1" s="211"/>
      <c r="G1" s="211"/>
      <c r="H1" s="211"/>
      <c r="I1" s="211" t="s">
        <v>655</v>
      </c>
      <c r="J1" s="211"/>
      <c r="K1" s="211"/>
      <c r="L1" s="211"/>
      <c r="N1" s="47" t="s">
        <v>656</v>
      </c>
      <c r="S1" s="44" t="s">
        <v>545</v>
      </c>
      <c r="T1" s="83" t="s">
        <v>546</v>
      </c>
      <c r="U1" s="45" t="s">
        <v>657</v>
      </c>
      <c r="V1" s="45" t="s">
        <v>658</v>
      </c>
      <c r="W1" s="84" t="s">
        <v>659</v>
      </c>
      <c r="Y1" s="85"/>
    </row>
    <row r="2" spans="1:26" ht="15.75" customHeight="1">
      <c r="A2" s="212" t="s">
        <v>660</v>
      </c>
      <c r="B2" s="212" t="s">
        <v>661</v>
      </c>
      <c r="C2" s="212" t="s">
        <v>662</v>
      </c>
      <c r="D2" s="212" t="s">
        <v>663</v>
      </c>
      <c r="E2" s="47" t="str">
        <f t="array" ref="E2:H2">TRANSPOSE(S2:S5)</f>
        <v>CDD</v>
      </c>
      <c r="F2" s="47" t="str">
        <v>CDE</v>
      </c>
      <c r="G2" s="47" t="str">
        <v>GrandMax</v>
      </c>
      <c r="H2" s="47" t="str">
        <v>Kijang</v>
      </c>
      <c r="I2" s="47" t="str">
        <f t="array" ref="I2:L2">TRANSPOSE(S2:S5)</f>
        <v>CDD</v>
      </c>
      <c r="J2" s="47" t="str">
        <v>CDE</v>
      </c>
      <c r="K2" s="47" t="str">
        <v>GrandMax</v>
      </c>
      <c r="L2" s="47" t="str">
        <v>Kijang</v>
      </c>
      <c r="N2" s="47" t="s">
        <v>664</v>
      </c>
      <c r="O2" s="47">
        <v>6800</v>
      </c>
      <c r="S2" s="86" t="s">
        <v>32</v>
      </c>
      <c r="T2" s="87">
        <v>280</v>
      </c>
      <c r="U2" s="49"/>
      <c r="V2" s="49">
        <v>4</v>
      </c>
      <c r="W2" s="88">
        <f>6800/4</f>
        <v>1700</v>
      </c>
      <c r="Y2" s="47" t="s">
        <v>664</v>
      </c>
      <c r="Z2" s="47">
        <v>6800</v>
      </c>
    </row>
    <row r="3" spans="1:26" ht="15.75" customHeight="1">
      <c r="A3" s="212"/>
      <c r="B3" s="212"/>
      <c r="C3" s="212"/>
      <c r="D3" s="212"/>
      <c r="N3" s="47" t="s">
        <v>665</v>
      </c>
      <c r="O3" s="47">
        <v>10000</v>
      </c>
      <c r="P3" s="47" t="s">
        <v>666</v>
      </c>
      <c r="R3" s="47" t="s">
        <v>667</v>
      </c>
      <c r="S3" s="86" t="s">
        <v>34</v>
      </c>
      <c r="T3" s="87">
        <v>200</v>
      </c>
      <c r="U3" s="49"/>
      <c r="V3" s="49">
        <v>7</v>
      </c>
      <c r="W3" s="88">
        <f>6800/7</f>
        <v>971.42857142857144</v>
      </c>
      <c r="Y3" s="47" t="s">
        <v>665</v>
      </c>
      <c r="Z3" s="47">
        <v>10000</v>
      </c>
    </row>
    <row r="4" spans="1:26" ht="15.75" customHeight="1">
      <c r="A4" s="73" t="s">
        <v>621</v>
      </c>
      <c r="B4" s="73" t="s">
        <v>160</v>
      </c>
      <c r="C4" s="89" t="s">
        <v>614</v>
      </c>
      <c r="D4" s="90">
        <v>1046.393</v>
      </c>
      <c r="E4" s="91">
        <f>$D$4/$V$2*6800</f>
        <v>1778868.1</v>
      </c>
      <c r="F4" s="91">
        <f>$D$4/$V$3*6800</f>
        <v>1016496.0571428572</v>
      </c>
      <c r="G4" s="91">
        <f>$D$4/$V$4*10000</f>
        <v>1307991.25</v>
      </c>
      <c r="H4" s="91">
        <f>$D$4/$V$5*10000</f>
        <v>1046393</v>
      </c>
      <c r="I4" s="91">
        <f t="shared" ref="I4:I45" si="0">E4/$T$2</f>
        <v>6353.1003571428573</v>
      </c>
      <c r="J4" s="91">
        <f t="shared" ref="J4:J45" si="1">F4/$T$3</f>
        <v>5082.4802857142859</v>
      </c>
      <c r="K4" s="91">
        <f t="shared" ref="K4:K45" si="2">G4/$T$4</f>
        <v>10899.927083333334</v>
      </c>
      <c r="L4" s="91">
        <f t="shared" ref="L4:L45" si="3">H4/$T$5</f>
        <v>13079.9125</v>
      </c>
      <c r="P4" s="47">
        <f>MIN(E4:H4)</f>
        <v>1016496.0571428572</v>
      </c>
      <c r="Q4" s="47" t="s">
        <v>34</v>
      </c>
      <c r="R4" s="47">
        <f>MIN(I4:L4)</f>
        <v>5082.4802857142859</v>
      </c>
      <c r="S4" s="86" t="s">
        <v>35</v>
      </c>
      <c r="T4" s="87">
        <v>120</v>
      </c>
      <c r="U4" s="49"/>
      <c r="V4" s="49">
        <v>8</v>
      </c>
      <c r="W4" s="88">
        <f>10000/4</f>
        <v>2500</v>
      </c>
    </row>
    <row r="5" spans="1:26" ht="15.75" customHeight="1">
      <c r="C5" s="89" t="s">
        <v>615</v>
      </c>
      <c r="D5" s="90">
        <v>924.61900000000003</v>
      </c>
      <c r="E5" s="91">
        <f t="shared" ref="E5:E16" si="4">D5/$V$2*6800</f>
        <v>1571852.3</v>
      </c>
      <c r="F5" s="91">
        <f t="shared" ref="F5:F16" si="5">D5/$V$3*6800</f>
        <v>898201.3142857143</v>
      </c>
      <c r="G5" s="91">
        <f t="shared" ref="G5:G16" si="6">D5/$V$4*10000</f>
        <v>1155773.75</v>
      </c>
      <c r="H5" s="91">
        <f t="shared" ref="H5:H16" si="7">D5/$V$5*10000</f>
        <v>924619</v>
      </c>
      <c r="I5" s="91">
        <f t="shared" si="0"/>
        <v>5613.7582142857145</v>
      </c>
      <c r="J5" s="91">
        <f t="shared" si="1"/>
        <v>4491.0065714285711</v>
      </c>
      <c r="K5" s="91">
        <f t="shared" si="2"/>
        <v>9631.4479166666661</v>
      </c>
      <c r="L5" s="91">
        <f t="shared" si="3"/>
        <v>11557.737499999999</v>
      </c>
      <c r="P5" s="47">
        <f>MIN(E5:H5)</f>
        <v>898201.3142857143</v>
      </c>
      <c r="Q5" s="47" t="s">
        <v>34</v>
      </c>
      <c r="R5" s="47">
        <f>MIN(I5:L5)</f>
        <v>4491.0065714285711</v>
      </c>
      <c r="S5" s="86" t="s">
        <v>36</v>
      </c>
      <c r="T5" s="87">
        <v>80</v>
      </c>
      <c r="U5" s="49"/>
      <c r="V5" s="49">
        <v>10</v>
      </c>
      <c r="W5" s="88">
        <f>10000/10</f>
        <v>1000</v>
      </c>
    </row>
    <row r="6" spans="1:26" ht="15.75" customHeight="1">
      <c r="C6" s="89" t="s">
        <v>616</v>
      </c>
      <c r="D6" s="90">
        <v>179.48500000000001</v>
      </c>
      <c r="E6" s="91">
        <f t="shared" si="4"/>
        <v>305124.5</v>
      </c>
      <c r="F6" s="91">
        <f t="shared" si="5"/>
        <v>174356.85714285716</v>
      </c>
      <c r="G6" s="91">
        <f t="shared" si="6"/>
        <v>224356.25000000003</v>
      </c>
      <c r="H6" s="91">
        <f t="shared" si="7"/>
        <v>179485.00000000003</v>
      </c>
      <c r="I6" s="91">
        <f t="shared" si="0"/>
        <v>1089.7303571428572</v>
      </c>
      <c r="J6" s="91">
        <f t="shared" si="1"/>
        <v>871.78428571428583</v>
      </c>
      <c r="K6" s="91">
        <f t="shared" si="2"/>
        <v>1869.635416666667</v>
      </c>
      <c r="L6" s="91">
        <f t="shared" si="3"/>
        <v>2243.5625000000005</v>
      </c>
      <c r="P6" s="47">
        <f>MIN(E6:H6)</f>
        <v>174356.85714285716</v>
      </c>
      <c r="Q6" s="47" t="s">
        <v>34</v>
      </c>
      <c r="R6" s="47">
        <f>MIN(I6:L6)</f>
        <v>871.78428571428583</v>
      </c>
      <c r="S6" s="86" t="s">
        <v>37</v>
      </c>
      <c r="T6" s="87">
        <v>5</v>
      </c>
      <c r="U6" s="49"/>
      <c r="V6" s="49">
        <v>15</v>
      </c>
      <c r="W6" s="88">
        <f>10000/15</f>
        <v>666.66666666666663</v>
      </c>
    </row>
    <row r="7" spans="1:26" ht="15.75" customHeight="1">
      <c r="D7" s="92">
        <v>440.971</v>
      </c>
      <c r="E7" s="91">
        <f t="shared" si="4"/>
        <v>749650.7</v>
      </c>
      <c r="F7" s="91">
        <f t="shared" si="5"/>
        <v>428371.82857142854</v>
      </c>
      <c r="G7" s="91">
        <f t="shared" si="6"/>
        <v>551213.75</v>
      </c>
      <c r="H7" s="91">
        <f t="shared" si="7"/>
        <v>440971</v>
      </c>
      <c r="I7" s="91">
        <f t="shared" si="0"/>
        <v>2677.3239285714285</v>
      </c>
      <c r="J7" s="91">
        <f t="shared" si="1"/>
        <v>2141.8591428571426</v>
      </c>
      <c r="K7" s="91">
        <f t="shared" si="2"/>
        <v>4593.447916666667</v>
      </c>
      <c r="L7" s="91">
        <f t="shared" si="3"/>
        <v>5512.1374999999998</v>
      </c>
      <c r="S7" s="93" t="s">
        <v>668</v>
      </c>
    </row>
    <row r="8" spans="1:26" ht="15.75" customHeight="1">
      <c r="A8" s="94" t="s">
        <v>622</v>
      </c>
      <c r="B8" s="89" t="s">
        <v>170</v>
      </c>
      <c r="C8" s="89" t="s">
        <v>602</v>
      </c>
      <c r="D8" s="90">
        <v>161.958</v>
      </c>
      <c r="E8" s="91">
        <f t="shared" si="4"/>
        <v>275328.59999999998</v>
      </c>
      <c r="F8" s="91">
        <f t="shared" si="5"/>
        <v>157330.62857142856</v>
      </c>
      <c r="G8" s="91">
        <f t="shared" si="6"/>
        <v>202447.5</v>
      </c>
      <c r="H8" s="91">
        <f t="shared" si="7"/>
        <v>161957.99999999997</v>
      </c>
      <c r="I8" s="91">
        <f t="shared" si="0"/>
        <v>983.31642857142845</v>
      </c>
      <c r="J8" s="91">
        <f t="shared" si="1"/>
        <v>786.65314285714283</v>
      </c>
      <c r="K8" s="91">
        <f t="shared" si="2"/>
        <v>1687.0625</v>
      </c>
      <c r="L8" s="91">
        <f t="shared" si="3"/>
        <v>2024.4749999999997</v>
      </c>
      <c r="P8" s="47">
        <f t="shared" ref="P8:P45" si="8">MIN(E8:H8)</f>
        <v>157330.62857142856</v>
      </c>
      <c r="Q8" s="47" t="s">
        <v>34</v>
      </c>
      <c r="R8" s="47">
        <f t="shared" ref="R8:R45" si="9">MIN(I8:L8)</f>
        <v>786.65314285714283</v>
      </c>
    </row>
    <row r="9" spans="1:26" ht="15.75" customHeight="1">
      <c r="A9" s="73" t="s">
        <v>622</v>
      </c>
      <c r="B9" s="73" t="s">
        <v>172</v>
      </c>
      <c r="C9" s="89" t="s">
        <v>592</v>
      </c>
      <c r="D9" s="90">
        <v>144.846</v>
      </c>
      <c r="E9" s="91">
        <f t="shared" si="4"/>
        <v>246238.2</v>
      </c>
      <c r="F9" s="91">
        <f t="shared" si="5"/>
        <v>140707.54285714286</v>
      </c>
      <c r="G9" s="91">
        <f t="shared" si="6"/>
        <v>181057.5</v>
      </c>
      <c r="H9" s="91">
        <f t="shared" si="7"/>
        <v>144846</v>
      </c>
      <c r="I9" s="91">
        <f t="shared" si="0"/>
        <v>879.42214285714294</v>
      </c>
      <c r="J9" s="91">
        <f t="shared" si="1"/>
        <v>703.53771428571429</v>
      </c>
      <c r="K9" s="91">
        <f t="shared" si="2"/>
        <v>1508.8125</v>
      </c>
      <c r="L9" s="91">
        <f t="shared" si="3"/>
        <v>1810.575</v>
      </c>
      <c r="P9" s="47">
        <f t="shared" si="8"/>
        <v>140707.54285714286</v>
      </c>
      <c r="Q9" s="47" t="s">
        <v>34</v>
      </c>
      <c r="R9" s="47">
        <f t="shared" si="9"/>
        <v>703.53771428571429</v>
      </c>
    </row>
    <row r="10" spans="1:26" ht="15.75" customHeight="1">
      <c r="C10" s="89" t="s">
        <v>593</v>
      </c>
      <c r="D10" s="90">
        <v>203.11099999999999</v>
      </c>
      <c r="E10" s="91">
        <f t="shared" si="4"/>
        <v>345288.7</v>
      </c>
      <c r="F10" s="91">
        <f t="shared" si="5"/>
        <v>197307.82857142854</v>
      </c>
      <c r="G10" s="91">
        <f t="shared" si="6"/>
        <v>253888.75</v>
      </c>
      <c r="H10" s="91">
        <f t="shared" si="7"/>
        <v>203111</v>
      </c>
      <c r="I10" s="91">
        <f t="shared" si="0"/>
        <v>1233.1739285714286</v>
      </c>
      <c r="J10" s="91">
        <f t="shared" si="1"/>
        <v>986.53914285714268</v>
      </c>
      <c r="K10" s="91">
        <f t="shared" si="2"/>
        <v>2115.7395833333335</v>
      </c>
      <c r="L10" s="91">
        <f t="shared" si="3"/>
        <v>2538.8874999999998</v>
      </c>
      <c r="P10" s="47">
        <f t="shared" si="8"/>
        <v>197307.82857142854</v>
      </c>
      <c r="Q10" s="47" t="s">
        <v>34</v>
      </c>
      <c r="R10" s="47">
        <f t="shared" si="9"/>
        <v>986.53914285714268</v>
      </c>
    </row>
    <row r="11" spans="1:26" ht="15.75" customHeight="1">
      <c r="C11" s="89" t="s">
        <v>604</v>
      </c>
      <c r="D11" s="90">
        <v>94.263999999999996</v>
      </c>
      <c r="E11" s="91">
        <f t="shared" si="4"/>
        <v>160248.79999999999</v>
      </c>
      <c r="F11" s="91">
        <f t="shared" si="5"/>
        <v>91570.742857142861</v>
      </c>
      <c r="G11" s="91">
        <f t="shared" si="6"/>
        <v>117830</v>
      </c>
      <c r="H11" s="91">
        <f t="shared" si="7"/>
        <v>94263.999999999985</v>
      </c>
      <c r="I11" s="91">
        <f t="shared" si="0"/>
        <v>572.31714285714281</v>
      </c>
      <c r="J11" s="91">
        <f t="shared" si="1"/>
        <v>457.85371428571432</v>
      </c>
      <c r="K11" s="91">
        <f t="shared" si="2"/>
        <v>981.91666666666663</v>
      </c>
      <c r="L11" s="91">
        <f t="shared" si="3"/>
        <v>1178.2999999999997</v>
      </c>
      <c r="P11" s="47">
        <f t="shared" si="8"/>
        <v>91570.742857142861</v>
      </c>
      <c r="Q11" s="47" t="s">
        <v>34</v>
      </c>
      <c r="R11" s="47">
        <f t="shared" si="9"/>
        <v>457.85371428571432</v>
      </c>
    </row>
    <row r="12" spans="1:26" ht="15.75" customHeight="1">
      <c r="A12" s="73" t="s">
        <v>622</v>
      </c>
      <c r="B12" s="73" t="s">
        <v>175</v>
      </c>
      <c r="C12" s="89" t="s">
        <v>594</v>
      </c>
      <c r="D12" s="90">
        <v>59.2</v>
      </c>
      <c r="E12" s="91">
        <f t="shared" si="4"/>
        <v>100640</v>
      </c>
      <c r="F12" s="91">
        <f t="shared" si="5"/>
        <v>57508.571428571428</v>
      </c>
      <c r="G12" s="91">
        <f t="shared" si="6"/>
        <v>74000</v>
      </c>
      <c r="H12" s="91">
        <f t="shared" si="7"/>
        <v>59200</v>
      </c>
      <c r="I12" s="91">
        <f t="shared" si="0"/>
        <v>359.42857142857144</v>
      </c>
      <c r="J12" s="91">
        <f t="shared" si="1"/>
        <v>287.54285714285714</v>
      </c>
      <c r="K12" s="91">
        <f t="shared" si="2"/>
        <v>616.66666666666663</v>
      </c>
      <c r="L12" s="91">
        <f t="shared" si="3"/>
        <v>740</v>
      </c>
      <c r="P12" s="47">
        <f t="shared" si="8"/>
        <v>57508.571428571428</v>
      </c>
      <c r="Q12" s="47" t="s">
        <v>34</v>
      </c>
      <c r="R12" s="47">
        <f t="shared" si="9"/>
        <v>287.54285714285714</v>
      </c>
    </row>
    <row r="13" spans="1:26" ht="15.75" customHeight="1">
      <c r="A13" s="73" t="s">
        <v>622</v>
      </c>
      <c r="B13" s="73" t="s">
        <v>177</v>
      </c>
      <c r="C13" s="89" t="s">
        <v>669</v>
      </c>
      <c r="D13" s="90">
        <v>343.09199999999998</v>
      </c>
      <c r="E13" s="91">
        <f t="shared" si="4"/>
        <v>583256.4</v>
      </c>
      <c r="F13" s="91">
        <f t="shared" si="5"/>
        <v>333289.37142857141</v>
      </c>
      <c r="G13" s="91">
        <f t="shared" si="6"/>
        <v>428865</v>
      </c>
      <c r="H13" s="91">
        <f t="shared" si="7"/>
        <v>343091.99999999994</v>
      </c>
      <c r="I13" s="91">
        <f t="shared" si="0"/>
        <v>2083.0585714285717</v>
      </c>
      <c r="J13" s="91">
        <f t="shared" si="1"/>
        <v>1666.446857142857</v>
      </c>
      <c r="K13" s="91">
        <f t="shared" si="2"/>
        <v>3573.875</v>
      </c>
      <c r="L13" s="91">
        <f t="shared" si="3"/>
        <v>4288.6499999999996</v>
      </c>
      <c r="P13" s="47">
        <f t="shared" si="8"/>
        <v>333289.37142857141</v>
      </c>
      <c r="Q13" s="47" t="s">
        <v>34</v>
      </c>
      <c r="R13" s="47">
        <f t="shared" si="9"/>
        <v>1666.446857142857</v>
      </c>
    </row>
    <row r="14" spans="1:26" ht="15.75" customHeight="1">
      <c r="A14" s="73" t="s">
        <v>622</v>
      </c>
      <c r="B14" s="73" t="s">
        <v>179</v>
      </c>
      <c r="C14" s="95" t="s">
        <v>597</v>
      </c>
      <c r="D14" s="96">
        <v>352.4</v>
      </c>
      <c r="E14" s="91">
        <f t="shared" si="4"/>
        <v>599080</v>
      </c>
      <c r="F14" s="91">
        <f t="shared" si="5"/>
        <v>342331.42857142858</v>
      </c>
      <c r="G14" s="91">
        <f t="shared" si="6"/>
        <v>440500</v>
      </c>
      <c r="H14" s="91">
        <f t="shared" si="7"/>
        <v>352399.99999999994</v>
      </c>
      <c r="I14" s="91">
        <f t="shared" si="0"/>
        <v>2139.5714285714284</v>
      </c>
      <c r="J14" s="91">
        <f t="shared" si="1"/>
        <v>1711.6571428571428</v>
      </c>
      <c r="K14" s="91">
        <f t="shared" si="2"/>
        <v>3670.8333333333335</v>
      </c>
      <c r="L14" s="91">
        <f t="shared" si="3"/>
        <v>4404.9999999999991</v>
      </c>
      <c r="P14" s="47">
        <f t="shared" si="8"/>
        <v>342331.42857142858</v>
      </c>
      <c r="Q14" s="47" t="s">
        <v>34</v>
      </c>
      <c r="R14" s="47">
        <f t="shared" si="9"/>
        <v>1711.6571428571428</v>
      </c>
    </row>
    <row r="15" spans="1:26" ht="15.75" customHeight="1">
      <c r="C15" s="89" t="s">
        <v>611</v>
      </c>
      <c r="D15" s="90">
        <v>151</v>
      </c>
      <c r="E15" s="91">
        <f t="shared" si="4"/>
        <v>256700</v>
      </c>
      <c r="F15" s="91">
        <f t="shared" si="5"/>
        <v>146685.71428571429</v>
      </c>
      <c r="G15" s="91">
        <f t="shared" si="6"/>
        <v>188750</v>
      </c>
      <c r="H15" s="91">
        <f t="shared" si="7"/>
        <v>151000</v>
      </c>
      <c r="I15" s="91">
        <f t="shared" si="0"/>
        <v>916.78571428571433</v>
      </c>
      <c r="J15" s="91">
        <f t="shared" si="1"/>
        <v>733.42857142857144</v>
      </c>
      <c r="K15" s="91">
        <f t="shared" si="2"/>
        <v>1572.9166666666667</v>
      </c>
      <c r="L15" s="91">
        <f t="shared" si="3"/>
        <v>1887.5</v>
      </c>
      <c r="P15" s="47">
        <f t="shared" si="8"/>
        <v>146685.71428571429</v>
      </c>
      <c r="Q15" s="47" t="s">
        <v>34</v>
      </c>
      <c r="R15" s="47">
        <f t="shared" si="9"/>
        <v>733.42857142857144</v>
      </c>
    </row>
    <row r="16" spans="1:26" ht="15.75" customHeight="1">
      <c r="C16" s="97" t="s">
        <v>608</v>
      </c>
      <c r="D16" s="96">
        <v>321</v>
      </c>
      <c r="E16" s="91">
        <f t="shared" si="4"/>
        <v>545700</v>
      </c>
      <c r="F16" s="91">
        <f t="shared" si="5"/>
        <v>311828.57142857142</v>
      </c>
      <c r="G16" s="91">
        <f t="shared" si="6"/>
        <v>401250</v>
      </c>
      <c r="H16" s="91">
        <f t="shared" si="7"/>
        <v>321000</v>
      </c>
      <c r="I16" s="91">
        <f t="shared" si="0"/>
        <v>1948.9285714285713</v>
      </c>
      <c r="J16" s="91">
        <f t="shared" si="1"/>
        <v>1559.1428571428571</v>
      </c>
      <c r="K16" s="91">
        <f t="shared" si="2"/>
        <v>3343.75</v>
      </c>
      <c r="L16" s="91">
        <f t="shared" si="3"/>
        <v>4012.5</v>
      </c>
      <c r="P16" s="47">
        <f t="shared" si="8"/>
        <v>311828.57142857142</v>
      </c>
      <c r="Q16" s="47" t="s">
        <v>34</v>
      </c>
      <c r="R16" s="47">
        <f t="shared" si="9"/>
        <v>1559.1428571428571</v>
      </c>
    </row>
    <row r="17" spans="1:18" ht="15.75" customHeight="1">
      <c r="A17" s="73" t="s">
        <v>622</v>
      </c>
      <c r="B17" s="73" t="s">
        <v>182</v>
      </c>
      <c r="C17" s="89" t="s">
        <v>600</v>
      </c>
      <c r="D17" s="90">
        <v>212.077</v>
      </c>
      <c r="E17" s="91">
        <f>$D$4/$V$2*6800</f>
        <v>1778868.1</v>
      </c>
      <c r="F17" s="91">
        <f>$D$4/$V$3*6800</f>
        <v>1016496.0571428572</v>
      </c>
      <c r="G17" s="91">
        <f>$D$4/$V$4*10000</f>
        <v>1307991.25</v>
      </c>
      <c r="H17" s="91">
        <f>$D$4/$V$5*10000</f>
        <v>1046393</v>
      </c>
      <c r="I17" s="91">
        <f t="shared" si="0"/>
        <v>6353.1003571428573</v>
      </c>
      <c r="J17" s="91">
        <f t="shared" si="1"/>
        <v>5082.4802857142859</v>
      </c>
      <c r="K17" s="91">
        <f t="shared" si="2"/>
        <v>10899.927083333334</v>
      </c>
      <c r="L17" s="91">
        <f t="shared" si="3"/>
        <v>13079.9125</v>
      </c>
      <c r="P17" s="47">
        <f t="shared" si="8"/>
        <v>1016496.0571428572</v>
      </c>
      <c r="Q17" s="47" t="s">
        <v>34</v>
      </c>
      <c r="R17" s="47">
        <f t="shared" si="9"/>
        <v>5082.4802857142859</v>
      </c>
    </row>
    <row r="18" spans="1:18" ht="15.75" customHeight="1">
      <c r="A18" s="73" t="s">
        <v>550</v>
      </c>
      <c r="B18" s="73" t="s">
        <v>162</v>
      </c>
      <c r="C18" s="89" t="s">
        <v>571</v>
      </c>
      <c r="D18" s="98">
        <v>154.22</v>
      </c>
      <c r="E18" s="91">
        <f t="shared" ref="E18:E45" si="10">D18/$V$2*6800</f>
        <v>262174</v>
      </c>
      <c r="F18" s="91">
        <f t="shared" ref="F18:F45" si="11">D18/$V$3*6800</f>
        <v>149813.71428571429</v>
      </c>
      <c r="G18" s="91">
        <f t="shared" ref="G18:G45" si="12">D18/$V$4*10000</f>
        <v>192775</v>
      </c>
      <c r="H18" s="91">
        <f t="shared" ref="H18:H45" si="13">D18/$V$5*10000</f>
        <v>154220</v>
      </c>
      <c r="I18" s="91">
        <f t="shared" si="0"/>
        <v>936.33571428571429</v>
      </c>
      <c r="J18" s="91">
        <f t="shared" si="1"/>
        <v>749.06857142857143</v>
      </c>
      <c r="K18" s="91">
        <f t="shared" si="2"/>
        <v>1606.4583333333333</v>
      </c>
      <c r="L18" s="91">
        <f t="shared" si="3"/>
        <v>1927.75</v>
      </c>
      <c r="P18" s="47">
        <f t="shared" si="8"/>
        <v>149813.71428571429</v>
      </c>
      <c r="Q18" s="47" t="s">
        <v>34</v>
      </c>
      <c r="R18" s="47">
        <f t="shared" si="9"/>
        <v>749.06857142857143</v>
      </c>
    </row>
    <row r="19" spans="1:18" ht="15.75" customHeight="1">
      <c r="C19" s="89" t="s">
        <v>588</v>
      </c>
      <c r="D19" s="98">
        <v>13.78</v>
      </c>
      <c r="E19" s="91">
        <f t="shared" si="10"/>
        <v>23426</v>
      </c>
      <c r="F19" s="91">
        <f t="shared" si="11"/>
        <v>13386.285714285714</v>
      </c>
      <c r="G19" s="91">
        <f t="shared" si="12"/>
        <v>17225</v>
      </c>
      <c r="H19" s="91">
        <f t="shared" si="13"/>
        <v>13779.999999999998</v>
      </c>
      <c r="I19" s="91">
        <f t="shared" si="0"/>
        <v>83.664285714285711</v>
      </c>
      <c r="J19" s="91">
        <f t="shared" si="1"/>
        <v>66.931428571428569</v>
      </c>
      <c r="K19" s="91">
        <f t="shared" si="2"/>
        <v>143.54166666666666</v>
      </c>
      <c r="L19" s="91">
        <f t="shared" si="3"/>
        <v>172.24999999999997</v>
      </c>
      <c r="P19" s="47">
        <f t="shared" si="8"/>
        <v>13386.285714285714</v>
      </c>
      <c r="Q19" s="47" t="s">
        <v>34</v>
      </c>
      <c r="R19" s="47">
        <f t="shared" si="9"/>
        <v>66.931428571428569</v>
      </c>
    </row>
    <row r="20" spans="1:18" ht="15.75" customHeight="1">
      <c r="C20" s="89" t="s">
        <v>670</v>
      </c>
      <c r="D20" s="98">
        <v>275.58</v>
      </c>
      <c r="E20" s="91">
        <f t="shared" si="10"/>
        <v>468486</v>
      </c>
      <c r="F20" s="91">
        <f t="shared" si="11"/>
        <v>267706.28571428574</v>
      </c>
      <c r="G20" s="91">
        <f t="shared" si="12"/>
        <v>344475</v>
      </c>
      <c r="H20" s="91">
        <f t="shared" si="13"/>
        <v>275580</v>
      </c>
      <c r="I20" s="91">
        <f t="shared" si="0"/>
        <v>1673.1642857142858</v>
      </c>
      <c r="J20" s="91">
        <f t="shared" si="1"/>
        <v>1338.5314285714287</v>
      </c>
      <c r="K20" s="91">
        <f t="shared" si="2"/>
        <v>2870.625</v>
      </c>
      <c r="L20" s="91">
        <f t="shared" si="3"/>
        <v>3444.75</v>
      </c>
      <c r="P20" s="47">
        <f t="shared" si="8"/>
        <v>267706.28571428574</v>
      </c>
      <c r="Q20" s="47" t="s">
        <v>34</v>
      </c>
      <c r="R20" s="47">
        <f t="shared" si="9"/>
        <v>1338.5314285714287</v>
      </c>
    </row>
    <row r="21" spans="1:18" ht="15.75" customHeight="1">
      <c r="A21" s="73" t="s">
        <v>550</v>
      </c>
      <c r="B21" s="73" t="s">
        <v>166</v>
      </c>
      <c r="C21" s="89" t="s">
        <v>557</v>
      </c>
      <c r="D21" s="90">
        <v>55.4</v>
      </c>
      <c r="E21" s="91">
        <f t="shared" si="10"/>
        <v>94180</v>
      </c>
      <c r="F21" s="91">
        <f t="shared" si="11"/>
        <v>53817.142857142855</v>
      </c>
      <c r="G21" s="91">
        <f t="shared" si="12"/>
        <v>69250</v>
      </c>
      <c r="H21" s="91">
        <f t="shared" si="13"/>
        <v>55400</v>
      </c>
      <c r="I21" s="91">
        <f t="shared" si="0"/>
        <v>336.35714285714283</v>
      </c>
      <c r="J21" s="91">
        <f t="shared" si="1"/>
        <v>269.08571428571429</v>
      </c>
      <c r="K21" s="91">
        <f t="shared" si="2"/>
        <v>577.08333333333337</v>
      </c>
      <c r="L21" s="91">
        <f t="shared" si="3"/>
        <v>692.5</v>
      </c>
      <c r="P21" s="47">
        <f t="shared" si="8"/>
        <v>53817.142857142855</v>
      </c>
      <c r="Q21" s="47" t="s">
        <v>34</v>
      </c>
      <c r="R21" s="47">
        <f t="shared" si="9"/>
        <v>269.08571428571429</v>
      </c>
    </row>
    <row r="22" spans="1:18" ht="15.75" customHeight="1">
      <c r="C22" s="99" t="s">
        <v>565</v>
      </c>
      <c r="D22" s="96">
        <v>47.8</v>
      </c>
      <c r="E22" s="91">
        <f t="shared" si="10"/>
        <v>81260</v>
      </c>
      <c r="F22" s="91">
        <f t="shared" si="11"/>
        <v>46434.28571428571</v>
      </c>
      <c r="G22" s="91">
        <f t="shared" si="12"/>
        <v>59750</v>
      </c>
      <c r="H22" s="91">
        <f t="shared" si="13"/>
        <v>47799.999999999993</v>
      </c>
      <c r="I22" s="91">
        <f t="shared" si="0"/>
        <v>290.21428571428572</v>
      </c>
      <c r="J22" s="91">
        <f t="shared" si="1"/>
        <v>232.17142857142855</v>
      </c>
      <c r="K22" s="91">
        <f t="shared" si="2"/>
        <v>497.91666666666669</v>
      </c>
      <c r="L22" s="91">
        <f t="shared" si="3"/>
        <v>597.49999999999989</v>
      </c>
      <c r="P22" s="47">
        <f t="shared" si="8"/>
        <v>46434.28571428571</v>
      </c>
      <c r="Q22" s="47" t="s">
        <v>34</v>
      </c>
      <c r="R22" s="47">
        <f t="shared" si="9"/>
        <v>232.17142857142855</v>
      </c>
    </row>
    <row r="23" spans="1:18" ht="15.75" customHeight="1">
      <c r="C23" s="89" t="s">
        <v>572</v>
      </c>
      <c r="D23" s="98">
        <v>170.45</v>
      </c>
      <c r="E23" s="91">
        <f t="shared" si="10"/>
        <v>289765</v>
      </c>
      <c r="F23" s="91">
        <f t="shared" si="11"/>
        <v>165580</v>
      </c>
      <c r="G23" s="91">
        <f t="shared" si="12"/>
        <v>213062.5</v>
      </c>
      <c r="H23" s="91">
        <f t="shared" si="13"/>
        <v>170449.99999999997</v>
      </c>
      <c r="I23" s="91">
        <f t="shared" si="0"/>
        <v>1034.875</v>
      </c>
      <c r="J23" s="91">
        <f t="shared" si="1"/>
        <v>827.9</v>
      </c>
      <c r="K23" s="91">
        <f t="shared" si="2"/>
        <v>1775.5208333333333</v>
      </c>
      <c r="L23" s="91">
        <f t="shared" si="3"/>
        <v>2130.6249999999995</v>
      </c>
      <c r="P23" s="47">
        <f t="shared" si="8"/>
        <v>165580</v>
      </c>
      <c r="Q23" s="47" t="s">
        <v>34</v>
      </c>
      <c r="R23" s="47">
        <f t="shared" si="9"/>
        <v>827.9</v>
      </c>
    </row>
    <row r="24" spans="1:18" ht="15.75" customHeight="1">
      <c r="C24" s="89" t="s">
        <v>586</v>
      </c>
      <c r="D24" s="98">
        <v>35.19</v>
      </c>
      <c r="E24" s="91">
        <f t="shared" si="10"/>
        <v>59822.999999999993</v>
      </c>
      <c r="F24" s="91">
        <f t="shared" si="11"/>
        <v>34184.571428571428</v>
      </c>
      <c r="G24" s="91">
        <f t="shared" si="12"/>
        <v>43987.5</v>
      </c>
      <c r="H24" s="91">
        <f t="shared" si="13"/>
        <v>35190</v>
      </c>
      <c r="I24" s="91">
        <f t="shared" si="0"/>
        <v>213.65357142857141</v>
      </c>
      <c r="J24" s="91">
        <f t="shared" si="1"/>
        <v>170.92285714285714</v>
      </c>
      <c r="K24" s="91">
        <f t="shared" si="2"/>
        <v>366.5625</v>
      </c>
      <c r="L24" s="91">
        <f t="shared" si="3"/>
        <v>439.875</v>
      </c>
      <c r="P24" s="47">
        <f t="shared" si="8"/>
        <v>34184.571428571428</v>
      </c>
      <c r="Q24" s="47" t="s">
        <v>34</v>
      </c>
      <c r="R24" s="47">
        <f t="shared" si="9"/>
        <v>170.92285714285714</v>
      </c>
    </row>
    <row r="25" spans="1:18" ht="15.75" customHeight="1">
      <c r="A25" s="73"/>
      <c r="B25" s="73"/>
      <c r="C25" s="89" t="s">
        <v>568</v>
      </c>
      <c r="D25" s="90">
        <v>396.91</v>
      </c>
      <c r="E25" s="91">
        <f t="shared" si="10"/>
        <v>674747</v>
      </c>
      <c r="F25" s="91">
        <f t="shared" si="11"/>
        <v>385569.71428571426</v>
      </c>
      <c r="G25" s="91">
        <f t="shared" si="12"/>
        <v>496137.50000000006</v>
      </c>
      <c r="H25" s="91">
        <f t="shared" si="13"/>
        <v>396910</v>
      </c>
      <c r="I25" s="91">
        <f t="shared" si="0"/>
        <v>2409.8107142857143</v>
      </c>
      <c r="J25" s="91">
        <f t="shared" si="1"/>
        <v>1927.8485714285714</v>
      </c>
      <c r="K25" s="91">
        <f t="shared" si="2"/>
        <v>4134.479166666667</v>
      </c>
      <c r="L25" s="91">
        <f t="shared" si="3"/>
        <v>4961.375</v>
      </c>
      <c r="P25" s="47">
        <f t="shared" si="8"/>
        <v>385569.71428571426</v>
      </c>
      <c r="Q25" s="47" t="s">
        <v>34</v>
      </c>
      <c r="R25" s="47">
        <f t="shared" si="9"/>
        <v>1927.8485714285714</v>
      </c>
    </row>
    <row r="26" spans="1:18" ht="15.75" customHeight="1">
      <c r="A26" s="73" t="s">
        <v>550</v>
      </c>
      <c r="B26" s="73" t="s">
        <v>164</v>
      </c>
      <c r="C26" s="89" t="s">
        <v>567</v>
      </c>
      <c r="D26" s="98">
        <v>200</v>
      </c>
      <c r="E26" s="91">
        <f t="shared" si="10"/>
        <v>340000</v>
      </c>
      <c r="F26" s="91">
        <f t="shared" si="11"/>
        <v>194285.71428571429</v>
      </c>
      <c r="G26" s="91">
        <f t="shared" si="12"/>
        <v>250000</v>
      </c>
      <c r="H26" s="91">
        <f t="shared" si="13"/>
        <v>200000</v>
      </c>
      <c r="I26" s="91">
        <f t="shared" si="0"/>
        <v>1214.2857142857142</v>
      </c>
      <c r="J26" s="91">
        <f t="shared" si="1"/>
        <v>971.42857142857144</v>
      </c>
      <c r="K26" s="91">
        <f t="shared" si="2"/>
        <v>2083.3333333333335</v>
      </c>
      <c r="L26" s="91">
        <f t="shared" si="3"/>
        <v>2500</v>
      </c>
      <c r="P26" s="47">
        <f t="shared" si="8"/>
        <v>194285.71428571429</v>
      </c>
      <c r="Q26" s="47" t="s">
        <v>34</v>
      </c>
      <c r="R26" s="47">
        <f t="shared" si="9"/>
        <v>971.42857142857144</v>
      </c>
    </row>
    <row r="27" spans="1:18" ht="15.75" customHeight="1">
      <c r="C27" s="89" t="s">
        <v>569</v>
      </c>
      <c r="D27" s="98">
        <v>16.37</v>
      </c>
      <c r="E27" s="91">
        <f t="shared" si="10"/>
        <v>27829</v>
      </c>
      <c r="F27" s="91">
        <f t="shared" si="11"/>
        <v>15902.285714285714</v>
      </c>
      <c r="G27" s="91">
        <f t="shared" si="12"/>
        <v>20462.5</v>
      </c>
      <c r="H27" s="91">
        <f t="shared" si="13"/>
        <v>16370</v>
      </c>
      <c r="I27" s="91">
        <f t="shared" si="0"/>
        <v>99.38928571428572</v>
      </c>
      <c r="J27" s="91">
        <f t="shared" si="1"/>
        <v>79.511428571428567</v>
      </c>
      <c r="K27" s="91">
        <f t="shared" si="2"/>
        <v>170.52083333333334</v>
      </c>
      <c r="L27" s="91">
        <f t="shared" si="3"/>
        <v>204.625</v>
      </c>
      <c r="P27" s="47">
        <f t="shared" si="8"/>
        <v>15902.285714285714</v>
      </c>
      <c r="Q27" s="47" t="s">
        <v>34</v>
      </c>
      <c r="R27" s="47">
        <f t="shared" si="9"/>
        <v>79.511428571428567</v>
      </c>
    </row>
    <row r="28" spans="1:18" ht="15.75" customHeight="1">
      <c r="C28" s="89" t="s">
        <v>570</v>
      </c>
      <c r="D28" s="98">
        <v>97.42</v>
      </c>
      <c r="E28" s="91">
        <f t="shared" si="10"/>
        <v>165614</v>
      </c>
      <c r="F28" s="91">
        <f t="shared" si="11"/>
        <v>94636.571428571435</v>
      </c>
      <c r="G28" s="91">
        <f t="shared" si="12"/>
        <v>121775</v>
      </c>
      <c r="H28" s="91">
        <f t="shared" si="13"/>
        <v>97420.000000000015</v>
      </c>
      <c r="I28" s="91">
        <f t="shared" si="0"/>
        <v>591.4785714285714</v>
      </c>
      <c r="J28" s="91">
        <f t="shared" si="1"/>
        <v>473.18285714285719</v>
      </c>
      <c r="K28" s="91">
        <f t="shared" si="2"/>
        <v>1014.7916666666666</v>
      </c>
      <c r="L28" s="91">
        <f t="shared" si="3"/>
        <v>1217.7500000000002</v>
      </c>
      <c r="P28" s="47">
        <f t="shared" si="8"/>
        <v>94636.571428571435</v>
      </c>
      <c r="Q28" s="47" t="s">
        <v>34</v>
      </c>
      <c r="R28" s="47">
        <f t="shared" si="9"/>
        <v>473.18285714285719</v>
      </c>
    </row>
    <row r="29" spans="1:18" ht="15.75" customHeight="1">
      <c r="C29" s="89" t="s">
        <v>578</v>
      </c>
      <c r="D29" s="98">
        <v>55.23</v>
      </c>
      <c r="E29" s="91">
        <f t="shared" si="10"/>
        <v>93891</v>
      </c>
      <c r="F29" s="91">
        <f t="shared" si="11"/>
        <v>53652</v>
      </c>
      <c r="G29" s="91">
        <f t="shared" si="12"/>
        <v>69037.5</v>
      </c>
      <c r="H29" s="91">
        <f t="shared" si="13"/>
        <v>55230</v>
      </c>
      <c r="I29" s="91">
        <f t="shared" si="0"/>
        <v>335.32499999999999</v>
      </c>
      <c r="J29" s="91">
        <f t="shared" si="1"/>
        <v>268.26</v>
      </c>
      <c r="K29" s="91">
        <f t="shared" si="2"/>
        <v>575.3125</v>
      </c>
      <c r="L29" s="91">
        <f t="shared" si="3"/>
        <v>690.375</v>
      </c>
      <c r="P29" s="47">
        <f t="shared" si="8"/>
        <v>53652</v>
      </c>
      <c r="Q29" s="47" t="s">
        <v>34</v>
      </c>
      <c r="R29" s="47">
        <f t="shared" si="9"/>
        <v>268.26</v>
      </c>
    </row>
    <row r="30" spans="1:18" ht="15.75" customHeight="1">
      <c r="C30" s="89" t="s">
        <v>585</v>
      </c>
      <c r="D30" s="98">
        <v>41.33</v>
      </c>
      <c r="E30" s="91">
        <f t="shared" si="10"/>
        <v>70261</v>
      </c>
      <c r="F30" s="91">
        <f t="shared" si="11"/>
        <v>40149.142857142855</v>
      </c>
      <c r="G30" s="91">
        <f t="shared" si="12"/>
        <v>51662.5</v>
      </c>
      <c r="H30" s="91">
        <f t="shared" si="13"/>
        <v>41330</v>
      </c>
      <c r="I30" s="91">
        <f t="shared" si="0"/>
        <v>250.93214285714285</v>
      </c>
      <c r="J30" s="91">
        <f t="shared" si="1"/>
        <v>200.74571428571429</v>
      </c>
      <c r="K30" s="91">
        <f t="shared" si="2"/>
        <v>430.52083333333331</v>
      </c>
      <c r="L30" s="91">
        <f t="shared" si="3"/>
        <v>516.625</v>
      </c>
      <c r="P30" s="47">
        <f t="shared" si="8"/>
        <v>40149.142857142855</v>
      </c>
      <c r="Q30" s="47" t="s">
        <v>34</v>
      </c>
      <c r="R30" s="47">
        <f t="shared" si="9"/>
        <v>200.74571428571429</v>
      </c>
    </row>
    <row r="31" spans="1:18" ht="15.75" customHeight="1">
      <c r="C31" s="89" t="s">
        <v>566</v>
      </c>
      <c r="D31" s="98">
        <v>194.85</v>
      </c>
      <c r="E31" s="91">
        <f t="shared" si="10"/>
        <v>331245</v>
      </c>
      <c r="F31" s="91">
        <f t="shared" si="11"/>
        <v>189282.85714285713</v>
      </c>
      <c r="G31" s="91">
        <f t="shared" si="12"/>
        <v>243562.5</v>
      </c>
      <c r="H31" s="91">
        <f t="shared" si="13"/>
        <v>194850</v>
      </c>
      <c r="I31" s="91">
        <f t="shared" si="0"/>
        <v>1183.0178571428571</v>
      </c>
      <c r="J31" s="91">
        <f t="shared" si="1"/>
        <v>946.4142857142856</v>
      </c>
      <c r="K31" s="91">
        <f t="shared" si="2"/>
        <v>2029.6875</v>
      </c>
      <c r="L31" s="91">
        <f t="shared" si="3"/>
        <v>2435.625</v>
      </c>
      <c r="P31" s="47">
        <f t="shared" si="8"/>
        <v>189282.85714285713</v>
      </c>
      <c r="Q31" s="47" t="s">
        <v>34</v>
      </c>
      <c r="R31" s="47">
        <f t="shared" si="9"/>
        <v>946.4142857142856</v>
      </c>
    </row>
    <row r="32" spans="1:18" ht="15.75" customHeight="1">
      <c r="C32" s="89" t="s">
        <v>577</v>
      </c>
      <c r="D32" s="98">
        <v>375.38</v>
      </c>
      <c r="E32" s="91">
        <f t="shared" si="10"/>
        <v>638146</v>
      </c>
      <c r="F32" s="91">
        <f t="shared" si="11"/>
        <v>364654.85714285716</v>
      </c>
      <c r="G32" s="91">
        <f t="shared" si="12"/>
        <v>469225</v>
      </c>
      <c r="H32" s="91">
        <f t="shared" si="13"/>
        <v>375379.99999999994</v>
      </c>
      <c r="I32" s="91">
        <f t="shared" si="0"/>
        <v>2279.0928571428572</v>
      </c>
      <c r="J32" s="91">
        <f t="shared" si="1"/>
        <v>1823.2742857142857</v>
      </c>
      <c r="K32" s="91">
        <f t="shared" si="2"/>
        <v>3910.2083333333335</v>
      </c>
      <c r="L32" s="91">
        <f t="shared" si="3"/>
        <v>4692.2499999999991</v>
      </c>
      <c r="P32" s="47">
        <f t="shared" si="8"/>
        <v>364654.85714285716</v>
      </c>
      <c r="Q32" s="47" t="s">
        <v>34</v>
      </c>
      <c r="R32" s="47">
        <f t="shared" si="9"/>
        <v>1823.2742857142857</v>
      </c>
    </row>
    <row r="33" spans="1:18" ht="15.75" customHeight="1">
      <c r="C33" s="99" t="s">
        <v>579</v>
      </c>
      <c r="D33" s="98">
        <v>162.63999999999999</v>
      </c>
      <c r="E33" s="91">
        <f t="shared" si="10"/>
        <v>276488</v>
      </c>
      <c r="F33" s="91">
        <f t="shared" si="11"/>
        <v>157993.14285714284</v>
      </c>
      <c r="G33" s="91">
        <f t="shared" si="12"/>
        <v>203299.99999999997</v>
      </c>
      <c r="H33" s="91">
        <f t="shared" si="13"/>
        <v>162640</v>
      </c>
      <c r="I33" s="91">
        <f t="shared" si="0"/>
        <v>987.45714285714291</v>
      </c>
      <c r="J33" s="91">
        <f t="shared" si="1"/>
        <v>789.96571428571417</v>
      </c>
      <c r="K33" s="91">
        <f t="shared" si="2"/>
        <v>1694.1666666666665</v>
      </c>
      <c r="L33" s="91">
        <f t="shared" si="3"/>
        <v>2033</v>
      </c>
      <c r="P33" s="47">
        <f t="shared" si="8"/>
        <v>157993.14285714284</v>
      </c>
      <c r="Q33" s="47" t="s">
        <v>34</v>
      </c>
      <c r="R33" s="47">
        <f t="shared" si="9"/>
        <v>789.96571428571417</v>
      </c>
    </row>
    <row r="34" spans="1:18" ht="15.75" customHeight="1">
      <c r="C34" s="89" t="s">
        <v>584</v>
      </c>
      <c r="D34" s="100">
        <v>224.38</v>
      </c>
      <c r="E34" s="91">
        <f t="shared" si="10"/>
        <v>381446</v>
      </c>
      <c r="F34" s="91">
        <f t="shared" si="11"/>
        <v>217969.14285714284</v>
      </c>
      <c r="G34" s="91">
        <f t="shared" si="12"/>
        <v>280475</v>
      </c>
      <c r="H34" s="91">
        <f t="shared" si="13"/>
        <v>224380</v>
      </c>
      <c r="I34" s="91">
        <f t="shared" si="0"/>
        <v>1362.3071428571429</v>
      </c>
      <c r="J34" s="91">
        <f t="shared" si="1"/>
        <v>1089.8457142857142</v>
      </c>
      <c r="K34" s="91">
        <f t="shared" si="2"/>
        <v>2337.2916666666665</v>
      </c>
      <c r="L34" s="91">
        <f t="shared" si="3"/>
        <v>2804.75</v>
      </c>
      <c r="P34" s="47">
        <f t="shared" si="8"/>
        <v>217969.14285714284</v>
      </c>
      <c r="Q34" s="47" t="s">
        <v>34</v>
      </c>
      <c r="R34" s="47">
        <f t="shared" si="9"/>
        <v>1089.8457142857142</v>
      </c>
    </row>
    <row r="35" spans="1:18" ht="15.75" customHeight="1">
      <c r="A35" s="73" t="s">
        <v>550</v>
      </c>
      <c r="B35" s="73" t="s">
        <v>168</v>
      </c>
      <c r="C35" s="89" t="s">
        <v>580</v>
      </c>
      <c r="D35" s="98">
        <v>71.72</v>
      </c>
      <c r="E35" s="91">
        <f t="shared" si="10"/>
        <v>121924</v>
      </c>
      <c r="F35" s="91">
        <f t="shared" si="11"/>
        <v>69670.857142857145</v>
      </c>
      <c r="G35" s="91">
        <f t="shared" si="12"/>
        <v>89650</v>
      </c>
      <c r="H35" s="91">
        <f t="shared" si="13"/>
        <v>71720</v>
      </c>
      <c r="I35" s="91">
        <f t="shared" si="0"/>
        <v>435.44285714285712</v>
      </c>
      <c r="J35" s="91">
        <f t="shared" si="1"/>
        <v>348.35428571428571</v>
      </c>
      <c r="K35" s="91">
        <f t="shared" si="2"/>
        <v>747.08333333333337</v>
      </c>
      <c r="L35" s="91">
        <f t="shared" si="3"/>
        <v>896.5</v>
      </c>
      <c r="P35" s="47">
        <f t="shared" si="8"/>
        <v>69670.857142857145</v>
      </c>
      <c r="Q35" s="47" t="s">
        <v>34</v>
      </c>
      <c r="R35" s="47">
        <f t="shared" si="9"/>
        <v>348.35428571428571</v>
      </c>
    </row>
    <row r="36" spans="1:18" ht="14.25" customHeight="1">
      <c r="C36" s="89" t="s">
        <v>573</v>
      </c>
      <c r="D36" s="98">
        <v>589.5</v>
      </c>
      <c r="E36" s="91">
        <f t="shared" si="10"/>
        <v>1002150</v>
      </c>
      <c r="F36" s="91">
        <f t="shared" si="11"/>
        <v>572657.14285714284</v>
      </c>
      <c r="G36" s="91">
        <f t="shared" si="12"/>
        <v>736875</v>
      </c>
      <c r="H36" s="91">
        <f t="shared" si="13"/>
        <v>589500</v>
      </c>
      <c r="I36" s="91">
        <f t="shared" si="0"/>
        <v>3579.1071428571427</v>
      </c>
      <c r="J36" s="91">
        <f t="shared" si="1"/>
        <v>2863.2857142857142</v>
      </c>
      <c r="K36" s="91">
        <f t="shared" si="2"/>
        <v>6140.625</v>
      </c>
      <c r="L36" s="91">
        <f t="shared" si="3"/>
        <v>7368.75</v>
      </c>
      <c r="P36" s="47">
        <f t="shared" si="8"/>
        <v>572657.14285714284</v>
      </c>
      <c r="Q36" s="47" t="s">
        <v>34</v>
      </c>
      <c r="R36" s="47">
        <f t="shared" si="9"/>
        <v>2863.2857142857142</v>
      </c>
    </row>
    <row r="37" spans="1:18" ht="14.25" customHeight="1">
      <c r="C37" s="89" t="s">
        <v>574</v>
      </c>
      <c r="D37" s="98">
        <v>406.82</v>
      </c>
      <c r="E37" s="91">
        <f t="shared" si="10"/>
        <v>691594</v>
      </c>
      <c r="F37" s="91">
        <f t="shared" si="11"/>
        <v>395196.57142857142</v>
      </c>
      <c r="G37" s="91">
        <f t="shared" si="12"/>
        <v>508525</v>
      </c>
      <c r="H37" s="91">
        <f t="shared" si="13"/>
        <v>406820</v>
      </c>
      <c r="I37" s="91">
        <f t="shared" si="0"/>
        <v>2469.9785714285713</v>
      </c>
      <c r="J37" s="91">
        <f t="shared" si="1"/>
        <v>1975.982857142857</v>
      </c>
      <c r="K37" s="91">
        <f t="shared" si="2"/>
        <v>4237.708333333333</v>
      </c>
      <c r="L37" s="91">
        <f t="shared" si="3"/>
        <v>5085.25</v>
      </c>
      <c r="P37" s="47">
        <f t="shared" si="8"/>
        <v>395196.57142857142</v>
      </c>
      <c r="Q37" s="47" t="s">
        <v>34</v>
      </c>
      <c r="R37" s="47">
        <f t="shared" si="9"/>
        <v>1975.982857142857</v>
      </c>
    </row>
    <row r="38" spans="1:18" ht="14.25" customHeight="1">
      <c r="C38" s="99" t="s">
        <v>582</v>
      </c>
      <c r="D38" s="98">
        <v>206.67</v>
      </c>
      <c r="E38" s="91">
        <f t="shared" si="10"/>
        <v>351339</v>
      </c>
      <c r="F38" s="91">
        <f t="shared" si="11"/>
        <v>200765.14285714287</v>
      </c>
      <c r="G38" s="91">
        <f t="shared" si="12"/>
        <v>258337.49999999997</v>
      </c>
      <c r="H38" s="91">
        <f t="shared" si="13"/>
        <v>206669.99999999997</v>
      </c>
      <c r="I38" s="91">
        <f t="shared" si="0"/>
        <v>1254.7821428571428</v>
      </c>
      <c r="J38" s="91">
        <f t="shared" si="1"/>
        <v>1003.8257142857143</v>
      </c>
      <c r="K38" s="91">
        <f t="shared" si="2"/>
        <v>2152.8124999999995</v>
      </c>
      <c r="L38" s="91">
        <f t="shared" si="3"/>
        <v>2583.3749999999995</v>
      </c>
      <c r="P38" s="47">
        <f t="shared" si="8"/>
        <v>200765.14285714287</v>
      </c>
      <c r="Q38" s="47" t="s">
        <v>34</v>
      </c>
      <c r="R38" s="47">
        <f t="shared" si="9"/>
        <v>1003.8257142857143</v>
      </c>
    </row>
    <row r="39" spans="1:18" ht="14.25" customHeight="1">
      <c r="A39" s="73" t="s">
        <v>550</v>
      </c>
      <c r="B39" s="73" t="s">
        <v>568</v>
      </c>
      <c r="C39" s="89" t="s">
        <v>671</v>
      </c>
      <c r="D39" s="98">
        <v>134.66</v>
      </c>
      <c r="E39" s="91">
        <f t="shared" si="10"/>
        <v>228922</v>
      </c>
      <c r="F39" s="91">
        <f t="shared" si="11"/>
        <v>130812.57142857142</v>
      </c>
      <c r="G39" s="91">
        <f t="shared" si="12"/>
        <v>168325</v>
      </c>
      <c r="H39" s="91">
        <f t="shared" si="13"/>
        <v>134660</v>
      </c>
      <c r="I39" s="91">
        <f t="shared" si="0"/>
        <v>817.57857142857142</v>
      </c>
      <c r="J39" s="91">
        <f t="shared" si="1"/>
        <v>654.06285714285707</v>
      </c>
      <c r="K39" s="91">
        <f t="shared" si="2"/>
        <v>1402.7083333333333</v>
      </c>
      <c r="L39" s="91">
        <f t="shared" si="3"/>
        <v>1683.25</v>
      </c>
      <c r="P39" s="47">
        <f t="shared" si="8"/>
        <v>130812.57142857142</v>
      </c>
      <c r="Q39" s="47" t="s">
        <v>34</v>
      </c>
      <c r="R39" s="47">
        <f t="shared" si="9"/>
        <v>654.06285714285707</v>
      </c>
    </row>
    <row r="40" spans="1:18" ht="14.25" customHeight="1">
      <c r="A40" s="73" t="s">
        <v>550</v>
      </c>
      <c r="B40" s="73" t="s">
        <v>577</v>
      </c>
      <c r="C40" s="89" t="s">
        <v>563</v>
      </c>
      <c r="D40" s="98">
        <v>49.98</v>
      </c>
      <c r="E40" s="91">
        <f t="shared" si="10"/>
        <v>84966</v>
      </c>
      <c r="F40" s="91">
        <f t="shared" si="11"/>
        <v>48552</v>
      </c>
      <c r="G40" s="91">
        <f t="shared" si="12"/>
        <v>62474.999999999993</v>
      </c>
      <c r="H40" s="91">
        <f t="shared" si="13"/>
        <v>49979.999999999993</v>
      </c>
      <c r="I40" s="91">
        <f t="shared" si="0"/>
        <v>303.45</v>
      </c>
      <c r="J40" s="91">
        <f t="shared" si="1"/>
        <v>242.76</v>
      </c>
      <c r="K40" s="91">
        <f t="shared" si="2"/>
        <v>520.62499999999989</v>
      </c>
      <c r="L40" s="91">
        <f t="shared" si="3"/>
        <v>624.74999999999989</v>
      </c>
      <c r="P40" s="47">
        <f t="shared" si="8"/>
        <v>48552</v>
      </c>
      <c r="Q40" s="47" t="s">
        <v>34</v>
      </c>
      <c r="R40" s="47">
        <f t="shared" si="9"/>
        <v>242.76</v>
      </c>
    </row>
    <row r="41" spans="1:18" ht="13.5" customHeight="1">
      <c r="C41" s="99" t="s">
        <v>575</v>
      </c>
      <c r="D41" s="100">
        <v>138.44999999999999</v>
      </c>
      <c r="E41" s="91">
        <f t="shared" si="10"/>
        <v>235364.99999999997</v>
      </c>
      <c r="F41" s="91">
        <f t="shared" si="11"/>
        <v>134494.28571428571</v>
      </c>
      <c r="G41" s="91">
        <f t="shared" si="12"/>
        <v>173062.5</v>
      </c>
      <c r="H41" s="91">
        <f t="shared" si="13"/>
        <v>138450</v>
      </c>
      <c r="I41" s="91">
        <f t="shared" si="0"/>
        <v>840.58928571428567</v>
      </c>
      <c r="J41" s="91">
        <f t="shared" si="1"/>
        <v>672.47142857142853</v>
      </c>
      <c r="K41" s="91">
        <f t="shared" si="2"/>
        <v>1442.1875</v>
      </c>
      <c r="L41" s="91">
        <f t="shared" si="3"/>
        <v>1730.625</v>
      </c>
      <c r="P41" s="47">
        <f t="shared" si="8"/>
        <v>134494.28571428571</v>
      </c>
      <c r="Q41" s="47" t="s">
        <v>34</v>
      </c>
      <c r="R41" s="47">
        <f t="shared" si="9"/>
        <v>672.47142857142853</v>
      </c>
    </row>
    <row r="42" spans="1:18" ht="14.25" customHeight="1">
      <c r="C42" s="89" t="s">
        <v>587</v>
      </c>
      <c r="D42" s="98">
        <v>72.180000000000007</v>
      </c>
      <c r="E42" s="91">
        <f t="shared" si="10"/>
        <v>122706.00000000001</v>
      </c>
      <c r="F42" s="91">
        <f t="shared" si="11"/>
        <v>70117.714285714304</v>
      </c>
      <c r="G42" s="91">
        <f t="shared" si="12"/>
        <v>90225.000000000015</v>
      </c>
      <c r="H42" s="91">
        <f t="shared" si="13"/>
        <v>72180.000000000015</v>
      </c>
      <c r="I42" s="91">
        <f t="shared" si="0"/>
        <v>438.23571428571432</v>
      </c>
      <c r="J42" s="91">
        <f t="shared" si="1"/>
        <v>350.58857142857153</v>
      </c>
      <c r="K42" s="91">
        <f t="shared" si="2"/>
        <v>751.87500000000011</v>
      </c>
      <c r="L42" s="91">
        <f t="shared" si="3"/>
        <v>902.25000000000023</v>
      </c>
      <c r="P42" s="47">
        <f t="shared" si="8"/>
        <v>70117.714285714304</v>
      </c>
      <c r="Q42" s="47" t="s">
        <v>34</v>
      </c>
      <c r="R42" s="47">
        <f t="shared" si="9"/>
        <v>350.58857142857153</v>
      </c>
    </row>
    <row r="43" spans="1:18" ht="14.25" customHeight="1">
      <c r="A43" s="73" t="s">
        <v>550</v>
      </c>
      <c r="B43" s="73" t="s">
        <v>579</v>
      </c>
      <c r="C43" s="89" t="s">
        <v>559</v>
      </c>
      <c r="D43" s="98">
        <v>62.41</v>
      </c>
      <c r="E43" s="91">
        <f t="shared" si="10"/>
        <v>106097</v>
      </c>
      <c r="F43" s="91">
        <f t="shared" si="11"/>
        <v>60626.857142857138</v>
      </c>
      <c r="G43" s="91">
        <f t="shared" si="12"/>
        <v>78012.5</v>
      </c>
      <c r="H43" s="91">
        <f t="shared" si="13"/>
        <v>62410</v>
      </c>
      <c r="I43" s="91">
        <f t="shared" si="0"/>
        <v>378.91785714285714</v>
      </c>
      <c r="J43" s="91">
        <f t="shared" si="1"/>
        <v>303.13428571428568</v>
      </c>
      <c r="K43" s="91">
        <f t="shared" si="2"/>
        <v>650.10416666666663</v>
      </c>
      <c r="L43" s="91">
        <f t="shared" si="3"/>
        <v>780.125</v>
      </c>
      <c r="P43" s="47">
        <f t="shared" si="8"/>
        <v>60626.857142857138</v>
      </c>
      <c r="Q43" s="47" t="s">
        <v>34</v>
      </c>
      <c r="R43" s="47">
        <f t="shared" si="9"/>
        <v>303.13428571428568</v>
      </c>
    </row>
    <row r="44" spans="1:18" ht="14.25" customHeight="1">
      <c r="C44" s="89" t="s">
        <v>581</v>
      </c>
      <c r="D44" s="98">
        <v>103.54</v>
      </c>
      <c r="E44" s="91">
        <f t="shared" si="10"/>
        <v>176018</v>
      </c>
      <c r="F44" s="91">
        <f t="shared" si="11"/>
        <v>100581.71428571429</v>
      </c>
      <c r="G44" s="91">
        <f t="shared" si="12"/>
        <v>129425.00000000001</v>
      </c>
      <c r="H44" s="91">
        <f t="shared" si="13"/>
        <v>103540.00000000001</v>
      </c>
      <c r="I44" s="91">
        <f t="shared" si="0"/>
        <v>628.63571428571424</v>
      </c>
      <c r="J44" s="91">
        <f t="shared" si="1"/>
        <v>502.90857142857146</v>
      </c>
      <c r="K44" s="91">
        <f t="shared" si="2"/>
        <v>1078.5416666666667</v>
      </c>
      <c r="L44" s="91">
        <f t="shared" si="3"/>
        <v>1294.2500000000002</v>
      </c>
      <c r="P44" s="47">
        <f t="shared" si="8"/>
        <v>100581.71428571429</v>
      </c>
      <c r="Q44" s="47" t="s">
        <v>34</v>
      </c>
      <c r="R44" s="47">
        <f t="shared" si="9"/>
        <v>502.90857142857146</v>
      </c>
    </row>
    <row r="45" spans="1:18" ht="14.25" customHeight="1">
      <c r="C45" s="89" t="s">
        <v>583</v>
      </c>
      <c r="D45" s="98">
        <v>80.400000000000006</v>
      </c>
      <c r="E45" s="91">
        <f t="shared" si="10"/>
        <v>136680</v>
      </c>
      <c r="F45" s="91">
        <f t="shared" si="11"/>
        <v>78102.857142857145</v>
      </c>
      <c r="G45" s="91">
        <f t="shared" si="12"/>
        <v>100500</v>
      </c>
      <c r="H45" s="91">
        <f t="shared" si="13"/>
        <v>80400.000000000015</v>
      </c>
      <c r="I45" s="91">
        <f t="shared" si="0"/>
        <v>488.14285714285717</v>
      </c>
      <c r="J45" s="91">
        <f t="shared" si="1"/>
        <v>390.51428571428573</v>
      </c>
      <c r="K45" s="91">
        <f t="shared" si="2"/>
        <v>837.5</v>
      </c>
      <c r="L45" s="91">
        <f t="shared" si="3"/>
        <v>1005.0000000000002</v>
      </c>
      <c r="P45" s="47">
        <f t="shared" si="8"/>
        <v>78102.857142857145</v>
      </c>
      <c r="Q45" s="47" t="s">
        <v>34</v>
      </c>
      <c r="R45" s="47">
        <f t="shared" si="9"/>
        <v>390.51428571428573</v>
      </c>
    </row>
    <row r="53" spans="14:14" ht="12" customHeight="1">
      <c r="N53" s="47"/>
    </row>
    <row r="54" spans="14:14" ht="12" customHeight="1">
      <c r="N54" s="47"/>
    </row>
  </sheetData>
  <mergeCells count="6">
    <mergeCell ref="E1:H1"/>
    <mergeCell ref="I1:L1"/>
    <mergeCell ref="A2:A3"/>
    <mergeCell ref="B2:B3"/>
    <mergeCell ref="C2:C3"/>
    <mergeCell ref="D2:D3"/>
  </mergeCells>
  <hyperlinks>
    <hyperlink ref="S7" r:id="rId1" xr:uid="{00000000-0004-0000-0C00-000000000000}"/>
  </hyperlinks>
  <pageMargins left="0.7" right="0.7" top="0.75" bottom="0.75" header="0.511811023622047" footer="0.511811023622047"/>
  <pageSetup paperSize="9" orientation="portrait" horizontalDpi="300" verticalDpi="300"/>
  <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tabSelected="1" zoomScale="70" zoomScaleNormal="70" workbookViewId="0">
      <selection activeCell="G19" sqref="G19"/>
    </sheetView>
  </sheetViews>
  <sheetFormatPr defaultColWidth="12.6328125" defaultRowHeight="12.5"/>
  <sheetData>
    <row r="1" spans="1:9" ht="15.75" customHeight="1">
      <c r="A1" s="53" t="s">
        <v>617</v>
      </c>
      <c r="B1" s="53" t="s">
        <v>154</v>
      </c>
      <c r="C1" s="53" t="s">
        <v>545</v>
      </c>
      <c r="D1" s="53" t="s">
        <v>672</v>
      </c>
      <c r="E1" s="53" t="s">
        <v>673</v>
      </c>
      <c r="F1" s="53" t="s">
        <v>674</v>
      </c>
      <c r="G1" s="47" t="s">
        <v>675</v>
      </c>
    </row>
    <row r="2" spans="1:9" ht="15.75" customHeight="1">
      <c r="A2" s="53" t="s">
        <v>621</v>
      </c>
      <c r="B2" s="53" t="s">
        <v>158</v>
      </c>
      <c r="C2" s="53" t="s">
        <v>552</v>
      </c>
      <c r="D2" s="101">
        <v>6900000</v>
      </c>
      <c r="E2" s="101">
        <v>5500000</v>
      </c>
      <c r="F2" s="101">
        <v>3500000</v>
      </c>
      <c r="I2" s="47" t="s">
        <v>676</v>
      </c>
    </row>
    <row r="3" spans="1:9" ht="15.75" customHeight="1">
      <c r="A3" s="53" t="s">
        <v>621</v>
      </c>
      <c r="B3" s="53" t="s">
        <v>160</v>
      </c>
      <c r="C3" s="53" t="s">
        <v>552</v>
      </c>
      <c r="D3" s="101">
        <v>6900000</v>
      </c>
      <c r="E3" s="101">
        <v>5500000</v>
      </c>
      <c r="F3" s="101">
        <v>3500000</v>
      </c>
      <c r="I3" s="93" t="s">
        <v>677</v>
      </c>
    </row>
    <row r="4" spans="1:9" ht="15.75" customHeight="1">
      <c r="A4" s="53" t="s">
        <v>621</v>
      </c>
      <c r="B4" s="53" t="s">
        <v>613</v>
      </c>
      <c r="C4" s="53" t="s">
        <v>678</v>
      </c>
      <c r="D4" s="101">
        <v>6900000</v>
      </c>
      <c r="E4" s="101">
        <v>5500000</v>
      </c>
      <c r="F4" s="101">
        <v>3500000</v>
      </c>
    </row>
    <row r="5" spans="1:9" ht="15.75" customHeight="1">
      <c r="A5" s="53" t="s">
        <v>621</v>
      </c>
      <c r="B5" s="53" t="s">
        <v>614</v>
      </c>
      <c r="C5" s="53" t="s">
        <v>678</v>
      </c>
      <c r="D5" s="101">
        <v>6900000</v>
      </c>
      <c r="E5" s="101">
        <v>5500000</v>
      </c>
      <c r="F5" s="101">
        <v>3500000</v>
      </c>
    </row>
    <row r="6" spans="1:9" ht="15.75" customHeight="1">
      <c r="A6" s="53" t="s">
        <v>621</v>
      </c>
      <c r="B6" s="53" t="s">
        <v>615</v>
      </c>
      <c r="C6" s="53" t="s">
        <v>678</v>
      </c>
      <c r="D6" s="101">
        <v>6900000</v>
      </c>
      <c r="E6" s="101">
        <v>5500000</v>
      </c>
      <c r="F6" s="101">
        <v>3500000</v>
      </c>
    </row>
    <row r="7" spans="1:9" ht="15.75" customHeight="1">
      <c r="A7" s="53" t="s">
        <v>621</v>
      </c>
      <c r="B7" s="53" t="s">
        <v>616</v>
      </c>
      <c r="C7" s="53" t="s">
        <v>678</v>
      </c>
      <c r="D7" s="101">
        <v>6900000</v>
      </c>
      <c r="E7" s="101">
        <v>5500000</v>
      </c>
      <c r="F7" s="101">
        <v>3500000</v>
      </c>
    </row>
    <row r="8" spans="1:9" ht="15.75" customHeight="1">
      <c r="A8" s="53" t="s">
        <v>622</v>
      </c>
      <c r="B8" s="53" t="s">
        <v>608</v>
      </c>
      <c r="C8" s="53" t="s">
        <v>679</v>
      </c>
      <c r="D8" s="101">
        <v>13853970</v>
      </c>
      <c r="E8" s="101">
        <v>6560843.3329999996</v>
      </c>
      <c r="F8" s="101">
        <v>6560843.3329999996</v>
      </c>
      <c r="G8" s="101">
        <v>6560843.3329999996</v>
      </c>
    </row>
    <row r="9" spans="1:9" ht="15.75" customHeight="1">
      <c r="A9" s="53" t="s">
        <v>622</v>
      </c>
      <c r="B9" s="53" t="s">
        <v>170</v>
      </c>
      <c r="C9" s="53" t="s">
        <v>596</v>
      </c>
      <c r="D9" s="101">
        <v>13853970</v>
      </c>
      <c r="E9" s="101">
        <v>6560843.3329999996</v>
      </c>
      <c r="F9" s="101">
        <v>6560843.3329999996</v>
      </c>
      <c r="G9" s="101">
        <v>6560843.3329999996</v>
      </c>
    </row>
    <row r="10" spans="1:9" ht="15.75" customHeight="1">
      <c r="A10" s="53" t="s">
        <v>622</v>
      </c>
      <c r="B10" s="53" t="s">
        <v>172</v>
      </c>
      <c r="C10" s="53" t="s">
        <v>596</v>
      </c>
      <c r="D10" s="101">
        <v>13853970</v>
      </c>
      <c r="E10" s="101">
        <v>6560843.3329999996</v>
      </c>
      <c r="F10" s="101">
        <v>6560843.3329999996</v>
      </c>
      <c r="G10" s="101">
        <v>6560843.3329999996</v>
      </c>
    </row>
    <row r="11" spans="1:9" ht="15.75" customHeight="1">
      <c r="A11" s="53" t="s">
        <v>622</v>
      </c>
      <c r="B11" s="53" t="s">
        <v>174</v>
      </c>
      <c r="C11" s="53" t="s">
        <v>596</v>
      </c>
      <c r="D11" s="101">
        <v>13853970</v>
      </c>
      <c r="E11" s="101">
        <v>6560843.3329999996</v>
      </c>
      <c r="F11" s="101">
        <v>6560843.3329999996</v>
      </c>
      <c r="G11" s="101">
        <v>6560843.3329999996</v>
      </c>
    </row>
    <row r="12" spans="1:9" ht="15.75" customHeight="1">
      <c r="A12" s="53" t="s">
        <v>622</v>
      </c>
      <c r="B12" s="53" t="s">
        <v>175</v>
      </c>
      <c r="C12" s="53" t="s">
        <v>596</v>
      </c>
      <c r="D12" s="101">
        <v>13853970</v>
      </c>
      <c r="E12" s="101">
        <v>6560843.3329999996</v>
      </c>
      <c r="F12" s="101">
        <v>6560843.3329999996</v>
      </c>
      <c r="G12" s="101">
        <v>6560843.3329999996</v>
      </c>
    </row>
    <row r="13" spans="1:9" ht="15.75" customHeight="1">
      <c r="A13" s="53" t="s">
        <v>622</v>
      </c>
      <c r="B13" s="53" t="s">
        <v>177</v>
      </c>
      <c r="C13" s="53" t="s">
        <v>596</v>
      </c>
      <c r="D13" s="101">
        <v>13853970</v>
      </c>
      <c r="E13" s="101">
        <v>6560843.3329999996</v>
      </c>
      <c r="F13" s="101">
        <v>6560843.3329999996</v>
      </c>
      <c r="G13" s="101">
        <v>6560843.3329999996</v>
      </c>
    </row>
    <row r="14" spans="1:9" ht="15.75" customHeight="1">
      <c r="A14" s="53" t="s">
        <v>622</v>
      </c>
      <c r="B14" s="53" t="s">
        <v>179</v>
      </c>
      <c r="C14" s="53" t="s">
        <v>596</v>
      </c>
      <c r="D14" s="101">
        <v>13853970</v>
      </c>
      <c r="E14" s="101">
        <v>6560843.3329999996</v>
      </c>
      <c r="F14" s="101">
        <v>6560843.3329999996</v>
      </c>
      <c r="G14" s="101">
        <v>6560843.3329999996</v>
      </c>
    </row>
    <row r="15" spans="1:9" ht="15.75" customHeight="1">
      <c r="A15" s="53" t="s">
        <v>622</v>
      </c>
      <c r="B15" s="53" t="s">
        <v>181</v>
      </c>
      <c r="C15" s="53" t="s">
        <v>596</v>
      </c>
      <c r="D15" s="101">
        <v>13853970</v>
      </c>
      <c r="E15" s="101">
        <v>6560843.3329999996</v>
      </c>
      <c r="F15" s="101">
        <v>6560843.3329999996</v>
      </c>
      <c r="G15" s="101">
        <v>6560843.3329999996</v>
      </c>
    </row>
    <row r="16" spans="1:9" ht="15.75" customHeight="1">
      <c r="A16" s="53" t="s">
        <v>622</v>
      </c>
      <c r="B16" s="53" t="s">
        <v>182</v>
      </c>
      <c r="C16" s="53" t="s">
        <v>596</v>
      </c>
      <c r="D16" s="101">
        <v>13853970</v>
      </c>
      <c r="E16" s="101">
        <v>6560843.3329999996</v>
      </c>
      <c r="F16" s="101">
        <v>6560843.3329999996</v>
      </c>
      <c r="G16" s="101">
        <v>6560843.3329999996</v>
      </c>
    </row>
    <row r="17" spans="1:7" ht="15.75" customHeight="1">
      <c r="A17" s="53" t="s">
        <v>622</v>
      </c>
      <c r="B17" s="53" t="s">
        <v>184</v>
      </c>
      <c r="C17" s="53" t="s">
        <v>596</v>
      </c>
      <c r="D17" s="101">
        <v>13853970</v>
      </c>
      <c r="E17" s="101">
        <v>6560843.3329999996</v>
      </c>
      <c r="F17" s="101">
        <v>6560843.3329999996</v>
      </c>
      <c r="G17" s="101">
        <v>6560843.3329999996</v>
      </c>
    </row>
    <row r="18" spans="1:7" ht="15.75" customHeight="1">
      <c r="A18" s="53" t="s">
        <v>550</v>
      </c>
      <c r="B18" s="53" t="s">
        <v>162</v>
      </c>
      <c r="C18" s="53" t="s">
        <v>552</v>
      </c>
      <c r="D18" s="101">
        <v>6900000</v>
      </c>
      <c r="E18" s="101">
        <v>5500000</v>
      </c>
      <c r="F18" s="101">
        <v>3500000</v>
      </c>
    </row>
    <row r="19" spans="1:7" ht="15.75" customHeight="1">
      <c r="A19" s="53" t="s">
        <v>550</v>
      </c>
      <c r="B19" s="53" t="s">
        <v>164</v>
      </c>
      <c r="C19" s="53" t="s">
        <v>552</v>
      </c>
      <c r="D19" s="101">
        <v>6900000</v>
      </c>
      <c r="E19" s="101">
        <v>5500000</v>
      </c>
      <c r="F19" s="101">
        <v>3500000</v>
      </c>
    </row>
    <row r="20" spans="1:7" ht="15.75" customHeight="1">
      <c r="A20" s="53" t="s">
        <v>550</v>
      </c>
      <c r="B20" s="53" t="s">
        <v>166</v>
      </c>
      <c r="C20" s="53" t="s">
        <v>552</v>
      </c>
      <c r="D20" s="101">
        <v>6900000</v>
      </c>
      <c r="E20" s="101">
        <v>5500000</v>
      </c>
      <c r="F20" s="101">
        <v>3500000</v>
      </c>
    </row>
    <row r="21" spans="1:7" ht="15.75" customHeight="1">
      <c r="A21" s="53" t="s">
        <v>550</v>
      </c>
      <c r="B21" s="53" t="s">
        <v>168</v>
      </c>
      <c r="C21" s="53" t="s">
        <v>552</v>
      </c>
      <c r="D21" s="101">
        <v>6900000</v>
      </c>
      <c r="E21" s="101">
        <v>5500000</v>
      </c>
      <c r="F21" s="101">
        <v>3500000</v>
      </c>
    </row>
    <row r="22" spans="1:7" ht="15.75" customHeight="1">
      <c r="A22" s="53" t="s">
        <v>550</v>
      </c>
      <c r="B22" s="53" t="s">
        <v>561</v>
      </c>
      <c r="C22" s="53" t="s">
        <v>678</v>
      </c>
      <c r="D22" s="101">
        <v>6900000</v>
      </c>
      <c r="E22" s="101">
        <v>5500000</v>
      </c>
      <c r="F22" s="101">
        <v>3500000</v>
      </c>
    </row>
    <row r="23" spans="1:7" ht="15.75" customHeight="1">
      <c r="A23" s="53" t="s">
        <v>550</v>
      </c>
      <c r="B23" s="53" t="s">
        <v>566</v>
      </c>
      <c r="C23" s="53" t="s">
        <v>678</v>
      </c>
      <c r="D23" s="101">
        <v>6900000</v>
      </c>
      <c r="E23" s="101">
        <v>5500000</v>
      </c>
      <c r="F23" s="101">
        <v>3500000</v>
      </c>
    </row>
    <row r="24" spans="1:7" ht="15.75" customHeight="1">
      <c r="A24" s="53" t="s">
        <v>550</v>
      </c>
      <c r="B24" s="53" t="s">
        <v>568</v>
      </c>
      <c r="C24" s="53" t="s">
        <v>678</v>
      </c>
      <c r="D24" s="101">
        <v>6900000</v>
      </c>
      <c r="E24" s="101">
        <v>5500000</v>
      </c>
      <c r="F24" s="101">
        <v>3500000</v>
      </c>
    </row>
    <row r="25" spans="1:7" ht="15.75" customHeight="1">
      <c r="A25" s="53" t="s">
        <v>550</v>
      </c>
      <c r="B25" s="53" t="s">
        <v>573</v>
      </c>
      <c r="C25" s="53" t="s">
        <v>678</v>
      </c>
      <c r="D25" s="101">
        <v>6900000</v>
      </c>
      <c r="E25" s="101">
        <v>5500000</v>
      </c>
      <c r="F25" s="101">
        <v>3500000</v>
      </c>
    </row>
    <row r="26" spans="1:7" ht="15.75" customHeight="1">
      <c r="A26" s="53" t="s">
        <v>550</v>
      </c>
      <c r="B26" s="53" t="s">
        <v>574</v>
      </c>
      <c r="C26" s="53" t="s">
        <v>678</v>
      </c>
      <c r="D26" s="101">
        <v>6900000</v>
      </c>
      <c r="E26" s="101">
        <v>5500000</v>
      </c>
      <c r="F26" s="101">
        <v>3500000</v>
      </c>
    </row>
    <row r="27" spans="1:7" ht="15.75" customHeight="1">
      <c r="A27" s="53" t="s">
        <v>550</v>
      </c>
      <c r="B27" s="53" t="s">
        <v>577</v>
      </c>
      <c r="C27" s="53" t="s">
        <v>678</v>
      </c>
      <c r="D27" s="101">
        <v>6900000</v>
      </c>
      <c r="E27" s="101">
        <v>5500000</v>
      </c>
      <c r="F27" s="101">
        <v>3500000</v>
      </c>
    </row>
    <row r="28" spans="1:7" ht="15.75" customHeight="1">
      <c r="A28" s="53" t="s">
        <v>550</v>
      </c>
      <c r="B28" s="53" t="s">
        <v>579</v>
      </c>
      <c r="C28" s="53" t="s">
        <v>678</v>
      </c>
      <c r="D28" s="101">
        <v>6900000</v>
      </c>
      <c r="E28" s="101">
        <v>5500000</v>
      </c>
      <c r="F28" s="101">
        <v>3500000</v>
      </c>
    </row>
    <row r="29" spans="1:7" ht="15.75" customHeight="1">
      <c r="A29" s="53" t="s">
        <v>550</v>
      </c>
      <c r="B29" s="53" t="s">
        <v>582</v>
      </c>
      <c r="C29" s="53" t="s">
        <v>678</v>
      </c>
      <c r="D29" s="101">
        <v>6900000</v>
      </c>
      <c r="E29" s="101">
        <v>5500000</v>
      </c>
      <c r="F29" s="101">
        <v>3500000</v>
      </c>
    </row>
  </sheetData>
  <hyperlinks>
    <hyperlink ref="I3" r:id="rId1" xr:uid="{00000000-0004-0000-0D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3"/>
  <sheetViews>
    <sheetView topLeftCell="D1" zoomScaleNormal="100" workbookViewId="0">
      <selection activeCell="O30" sqref="O30"/>
    </sheetView>
  </sheetViews>
  <sheetFormatPr defaultColWidth="12.6328125" defaultRowHeight="12.5"/>
  <cols>
    <col min="4" max="4" width="39.90625" customWidth="1"/>
  </cols>
  <sheetData>
    <row r="1" spans="1:22" ht="21.75" customHeight="1">
      <c r="A1" s="14" t="s">
        <v>680</v>
      </c>
      <c r="B1" s="14"/>
      <c r="C1" s="14"/>
      <c r="D1" s="14"/>
      <c r="E1" s="14"/>
      <c r="F1" s="14"/>
      <c r="G1" s="14"/>
    </row>
    <row r="2" spans="1:22" ht="15.75" customHeight="1">
      <c r="A2" s="12" t="s">
        <v>681</v>
      </c>
      <c r="B2" s="12"/>
      <c r="C2" s="12"/>
      <c r="D2" s="12"/>
      <c r="E2" s="12"/>
      <c r="F2" s="12"/>
      <c r="G2" s="12"/>
    </row>
    <row r="3" spans="1:22" ht="15.75" customHeight="1">
      <c r="A3" s="11" t="s">
        <v>682</v>
      </c>
      <c r="B3" s="11"/>
      <c r="C3" s="11"/>
      <c r="D3" s="11"/>
      <c r="E3" s="11"/>
      <c r="F3" s="11"/>
      <c r="G3" s="11"/>
    </row>
    <row r="4" spans="1:22" ht="15.75" customHeight="1"/>
    <row r="5" spans="1:22" ht="15.75" customHeight="1">
      <c r="A5" s="53" t="s">
        <v>617</v>
      </c>
      <c r="B5" s="53" t="s">
        <v>154</v>
      </c>
      <c r="C5" s="53" t="s">
        <v>545</v>
      </c>
      <c r="D5" s="47" t="s">
        <v>683</v>
      </c>
      <c r="E5" s="47" t="s">
        <v>684</v>
      </c>
      <c r="F5" s="47" t="s">
        <v>685</v>
      </c>
      <c r="G5" s="47" t="s">
        <v>686</v>
      </c>
      <c r="K5" s="54" t="s">
        <v>625</v>
      </c>
      <c r="L5" s="54" t="s">
        <v>154</v>
      </c>
      <c r="M5" s="54" t="s">
        <v>545</v>
      </c>
      <c r="N5" s="54" t="s">
        <v>687</v>
      </c>
      <c r="O5" s="54" t="s">
        <v>688</v>
      </c>
      <c r="P5" s="54" t="s">
        <v>689</v>
      </c>
      <c r="Q5" s="47" t="s">
        <v>685</v>
      </c>
      <c r="R5" s="54"/>
      <c r="S5" s="54"/>
      <c r="T5" s="54"/>
      <c r="U5" s="54"/>
      <c r="V5" s="54"/>
    </row>
    <row r="6" spans="1:22" ht="15.75" customHeight="1">
      <c r="A6" s="53" t="s">
        <v>621</v>
      </c>
      <c r="B6" s="53" t="s">
        <v>158</v>
      </c>
      <c r="C6" s="53" t="s">
        <v>552</v>
      </c>
      <c r="E6" s="47" t="str">
        <f t="shared" ref="E6:E22" si="0">IFERROR(FLOOR(F6/D6,1),"-")</f>
        <v>-</v>
      </c>
      <c r="F6" s="102">
        <f t="shared" ref="F6:F33" si="1">JamKerja_PerBulan</f>
        <v>208</v>
      </c>
      <c r="G6" s="47" t="str">
        <f t="shared" ref="G6:G33" si="2">IFERROR(IF(E6*D6&lt;F6,TRUE()),"-")</f>
        <v>-</v>
      </c>
      <c r="I6" s="47" t="s">
        <v>690</v>
      </c>
      <c r="K6" s="56" t="s">
        <v>551</v>
      </c>
      <c r="L6" s="56" t="s">
        <v>158</v>
      </c>
      <c r="M6" s="56" t="s">
        <v>552</v>
      </c>
      <c r="N6" s="56">
        <v>5280</v>
      </c>
      <c r="O6" s="90" t="s">
        <v>691</v>
      </c>
      <c r="P6" s="47" t="s">
        <v>691</v>
      </c>
      <c r="Q6" s="102">
        <f t="shared" ref="Q6:Q33" si="3">JamKerja_PerBulan</f>
        <v>208</v>
      </c>
      <c r="R6" s="56"/>
      <c r="S6" s="56"/>
      <c r="T6" s="56"/>
      <c r="U6" s="56"/>
      <c r="V6" s="56"/>
    </row>
    <row r="7" spans="1:22" ht="15.75" customHeight="1">
      <c r="A7" s="103" t="s">
        <v>621</v>
      </c>
      <c r="B7" s="103" t="s">
        <v>160</v>
      </c>
      <c r="C7" s="103" t="s">
        <v>552</v>
      </c>
      <c r="D7" s="104">
        <f>1046.393/Kecepatan_Kendaraan</f>
        <v>23.253177777777779</v>
      </c>
      <c r="E7" s="47">
        <f t="shared" si="0"/>
        <v>8</v>
      </c>
      <c r="F7" s="102">
        <f t="shared" si="1"/>
        <v>208</v>
      </c>
      <c r="G7" s="47" t="b">
        <f t="shared" si="2"/>
        <v>1</v>
      </c>
      <c r="I7" s="47">
        <f>COUNT(D3,D9,D10,D12,D13,D14,D16,D18,D19,D20,D21,D24,D27,D28)</f>
        <v>7</v>
      </c>
      <c r="K7" s="56" t="s">
        <v>556</v>
      </c>
      <c r="L7" s="56" t="s">
        <v>162</v>
      </c>
      <c r="M7" s="56" t="s">
        <v>552</v>
      </c>
      <c r="N7" s="56">
        <v>1640</v>
      </c>
      <c r="O7" s="105">
        <f>275.58/Kecepatan_Kendaraan</f>
        <v>6.1239999999999997</v>
      </c>
      <c r="P7" s="47">
        <f>IFERROR(FLOOR(Q7/O7,1),"-")</f>
        <v>33</v>
      </c>
      <c r="Q7" s="102">
        <f t="shared" si="3"/>
        <v>208</v>
      </c>
      <c r="R7" s="56"/>
      <c r="S7" s="56"/>
      <c r="T7" s="56"/>
      <c r="U7" s="56"/>
      <c r="V7" s="56"/>
    </row>
    <row r="8" spans="1:22" ht="15.75" customHeight="1">
      <c r="A8" s="53" t="s">
        <v>621</v>
      </c>
      <c r="B8" s="53" t="s">
        <v>613</v>
      </c>
      <c r="C8" s="53" t="s">
        <v>678</v>
      </c>
      <c r="E8" s="47" t="str">
        <f t="shared" si="0"/>
        <v>-</v>
      </c>
      <c r="F8" s="102">
        <f t="shared" si="1"/>
        <v>208</v>
      </c>
      <c r="G8" s="47" t="str">
        <f t="shared" si="2"/>
        <v>-</v>
      </c>
      <c r="K8" s="56" t="s">
        <v>558</v>
      </c>
      <c r="L8" s="56" t="s">
        <v>160</v>
      </c>
      <c r="M8" s="56" t="s">
        <v>552</v>
      </c>
      <c r="N8" s="56">
        <v>1600</v>
      </c>
      <c r="O8" s="104">
        <f>1046.393/Kecepatan_Kendaraan</f>
        <v>23.253177777777779</v>
      </c>
      <c r="P8" s="47">
        <v>8</v>
      </c>
      <c r="Q8" s="102">
        <f t="shared" si="3"/>
        <v>208</v>
      </c>
      <c r="R8" s="56"/>
      <c r="S8" s="56"/>
      <c r="T8" s="56"/>
      <c r="U8" s="56"/>
      <c r="V8" s="56"/>
    </row>
    <row r="9" spans="1:22" ht="15.75" customHeight="1">
      <c r="A9" s="53" t="s">
        <v>621</v>
      </c>
      <c r="B9" s="53" t="s">
        <v>614</v>
      </c>
      <c r="C9" s="53" t="s">
        <v>678</v>
      </c>
      <c r="D9" s="90"/>
      <c r="E9" s="47" t="str">
        <f t="shared" si="0"/>
        <v>-</v>
      </c>
      <c r="F9" s="102">
        <f t="shared" si="1"/>
        <v>208</v>
      </c>
      <c r="G9" s="47" t="str">
        <f t="shared" si="2"/>
        <v>-</v>
      </c>
      <c r="K9" s="56" t="s">
        <v>560</v>
      </c>
      <c r="L9" s="56" t="s">
        <v>164</v>
      </c>
      <c r="M9" s="56" t="s">
        <v>552</v>
      </c>
      <c r="N9" s="56">
        <v>2920</v>
      </c>
      <c r="O9" s="106">
        <f>357.38/Kecepatan_Kendaraan</f>
        <v>7.9417777777777774</v>
      </c>
      <c r="P9" s="47">
        <v>26</v>
      </c>
      <c r="Q9" s="102">
        <f t="shared" si="3"/>
        <v>208</v>
      </c>
      <c r="R9" s="56"/>
      <c r="S9" s="56"/>
      <c r="T9" s="56"/>
      <c r="U9" s="56"/>
      <c r="V9" s="56"/>
    </row>
    <row r="10" spans="1:22" ht="15.75" customHeight="1">
      <c r="A10" s="53" t="s">
        <v>621</v>
      </c>
      <c r="B10" s="53" t="s">
        <v>615</v>
      </c>
      <c r="C10" s="53" t="s">
        <v>678</v>
      </c>
      <c r="E10" s="47" t="str">
        <f t="shared" si="0"/>
        <v>-</v>
      </c>
      <c r="F10" s="102">
        <f t="shared" si="1"/>
        <v>208</v>
      </c>
      <c r="G10" s="47" t="str">
        <f t="shared" si="2"/>
        <v>-</v>
      </c>
      <c r="K10" s="56" t="s">
        <v>562</v>
      </c>
      <c r="L10" s="56" t="s">
        <v>166</v>
      </c>
      <c r="M10" s="56" t="s">
        <v>552</v>
      </c>
      <c r="N10" s="56">
        <v>3400</v>
      </c>
      <c r="O10" s="107">
        <f>396.91/Kecepatan_Kendaraan</f>
        <v>8.8202222222222222</v>
      </c>
      <c r="P10" s="47">
        <f>IFERROR(FLOOR(Q10/O10,1),"-")</f>
        <v>23</v>
      </c>
      <c r="Q10" s="102">
        <f t="shared" si="3"/>
        <v>208</v>
      </c>
      <c r="R10" s="56"/>
      <c r="S10" s="56"/>
      <c r="T10" s="56"/>
      <c r="U10" s="56"/>
      <c r="V10" s="56"/>
    </row>
    <row r="11" spans="1:22" ht="15.75" customHeight="1">
      <c r="A11" s="53" t="s">
        <v>621</v>
      </c>
      <c r="B11" s="53" t="s">
        <v>616</v>
      </c>
      <c r="C11" s="53" t="s">
        <v>678</v>
      </c>
      <c r="E11" s="47" t="str">
        <f t="shared" si="0"/>
        <v>-</v>
      </c>
      <c r="F11" s="102">
        <f t="shared" si="1"/>
        <v>208</v>
      </c>
      <c r="G11" s="47" t="str">
        <f t="shared" si="2"/>
        <v>-</v>
      </c>
      <c r="K11" s="56" t="s">
        <v>564</v>
      </c>
      <c r="L11" s="56" t="s">
        <v>168</v>
      </c>
      <c r="M11" s="56" t="s">
        <v>552</v>
      </c>
      <c r="N11" s="56">
        <v>1560</v>
      </c>
      <c r="O11" s="108">
        <f>589.5/Kecepatan_Kendaraan</f>
        <v>13.1</v>
      </c>
      <c r="P11" s="47">
        <f>IFERROR(FLOOR(Q11/O11,1),"-")</f>
        <v>15</v>
      </c>
      <c r="Q11" s="102">
        <f t="shared" si="3"/>
        <v>208</v>
      </c>
      <c r="R11" s="56"/>
      <c r="S11" s="56"/>
      <c r="T11" s="56"/>
      <c r="U11" s="56"/>
      <c r="V11" s="56"/>
    </row>
    <row r="12" spans="1:22" ht="15.75" customHeight="1">
      <c r="A12" s="53" t="s">
        <v>622</v>
      </c>
      <c r="B12" s="53" t="s">
        <v>608</v>
      </c>
      <c r="C12" s="53" t="s">
        <v>679</v>
      </c>
      <c r="E12" s="47" t="str">
        <f t="shared" si="0"/>
        <v>-</v>
      </c>
      <c r="F12" s="102">
        <f t="shared" si="1"/>
        <v>208</v>
      </c>
      <c r="G12" s="47" t="str">
        <f t="shared" si="2"/>
        <v>-</v>
      </c>
      <c r="K12" s="56" t="s">
        <v>595</v>
      </c>
      <c r="L12" s="56" t="s">
        <v>170</v>
      </c>
      <c r="M12" s="56" t="s">
        <v>596</v>
      </c>
      <c r="N12" s="56">
        <v>2880</v>
      </c>
      <c r="O12" s="109">
        <f>161.958/Kecepatan_Kendaraan</f>
        <v>3.5990666666666664</v>
      </c>
      <c r="P12" s="47">
        <f>IFERROR(FLOOR(Q12/O12,1),"-")</f>
        <v>57</v>
      </c>
      <c r="Q12" s="102">
        <f t="shared" si="3"/>
        <v>208</v>
      </c>
      <c r="R12" s="56"/>
      <c r="S12" s="56"/>
      <c r="T12" s="56"/>
      <c r="U12" s="56"/>
      <c r="V12" s="56"/>
    </row>
    <row r="13" spans="1:22" ht="15.75" customHeight="1">
      <c r="A13" s="110" t="s">
        <v>622</v>
      </c>
      <c r="B13" s="110" t="s">
        <v>170</v>
      </c>
      <c r="C13" s="110" t="s">
        <v>596</v>
      </c>
      <c r="D13" s="109">
        <f>161.958/Kecepatan_Kendaraan</f>
        <v>3.5990666666666664</v>
      </c>
      <c r="E13" s="47">
        <f t="shared" si="0"/>
        <v>57</v>
      </c>
      <c r="F13" s="102">
        <f t="shared" si="1"/>
        <v>208</v>
      </c>
      <c r="G13" s="47" t="b">
        <f t="shared" si="2"/>
        <v>1</v>
      </c>
      <c r="K13" s="56" t="s">
        <v>598</v>
      </c>
      <c r="L13" s="56" t="s">
        <v>172</v>
      </c>
      <c r="M13" s="56" t="s">
        <v>596</v>
      </c>
      <c r="N13" s="56">
        <v>5280</v>
      </c>
      <c r="O13" s="104">
        <f>203.111/Kecepatan_Kendaraan</f>
        <v>4.5135777777777779</v>
      </c>
      <c r="P13" s="47">
        <f>IFERROR(FLOOR(Q13/O13,1),"-")</f>
        <v>46</v>
      </c>
      <c r="Q13" s="102">
        <f t="shared" si="3"/>
        <v>208</v>
      </c>
      <c r="R13" s="56"/>
      <c r="S13" s="56"/>
      <c r="T13" s="56"/>
      <c r="U13" s="56"/>
      <c r="V13" s="56"/>
    </row>
    <row r="14" spans="1:22" ht="15.75" customHeight="1">
      <c r="A14" s="103" t="s">
        <v>622</v>
      </c>
      <c r="B14" s="103" t="s">
        <v>172</v>
      </c>
      <c r="C14" s="103" t="s">
        <v>596</v>
      </c>
      <c r="D14" s="104">
        <f>203.111/Kecepatan_Kendaraan</f>
        <v>4.5135777777777779</v>
      </c>
      <c r="E14" s="47">
        <f t="shared" si="0"/>
        <v>46</v>
      </c>
      <c r="F14" s="102">
        <f t="shared" si="1"/>
        <v>208</v>
      </c>
      <c r="G14" s="47" t="b">
        <f t="shared" si="2"/>
        <v>1</v>
      </c>
      <c r="K14" s="56" t="s">
        <v>599</v>
      </c>
      <c r="L14" s="56" t="s">
        <v>174</v>
      </c>
      <c r="M14" s="56" t="s">
        <v>596</v>
      </c>
      <c r="N14" s="56">
        <v>520</v>
      </c>
      <c r="O14" s="56" t="s">
        <v>691</v>
      </c>
      <c r="P14" s="56" t="s">
        <v>691</v>
      </c>
      <c r="Q14" s="102">
        <f t="shared" si="3"/>
        <v>208</v>
      </c>
      <c r="R14" s="56"/>
      <c r="S14" s="56"/>
      <c r="T14" s="56"/>
      <c r="U14" s="56"/>
      <c r="V14" s="56"/>
    </row>
    <row r="15" spans="1:22" ht="15.75" customHeight="1">
      <c r="A15" s="53" t="s">
        <v>622</v>
      </c>
      <c r="B15" s="53" t="s">
        <v>174</v>
      </c>
      <c r="C15" s="53" t="s">
        <v>596</v>
      </c>
      <c r="E15" s="47" t="str">
        <f t="shared" si="0"/>
        <v>-</v>
      </c>
      <c r="F15" s="102">
        <f t="shared" si="1"/>
        <v>208</v>
      </c>
      <c r="G15" s="47" t="str">
        <f t="shared" si="2"/>
        <v>-</v>
      </c>
      <c r="K15" s="56" t="s">
        <v>601</v>
      </c>
      <c r="L15" s="56" t="s">
        <v>175</v>
      </c>
      <c r="M15" s="56" t="s">
        <v>596</v>
      </c>
      <c r="N15" s="56">
        <v>5280</v>
      </c>
      <c r="O15" s="111">
        <f>59.2/Kecepatan_Kendaraan</f>
        <v>1.3155555555555556</v>
      </c>
      <c r="P15" s="47">
        <f>IFERROR(FLOOR(Q15/O15,1),"-")</f>
        <v>158</v>
      </c>
      <c r="Q15" s="102">
        <f t="shared" si="3"/>
        <v>208</v>
      </c>
      <c r="R15" s="56"/>
      <c r="S15" s="56"/>
      <c r="T15" s="56"/>
      <c r="U15" s="56"/>
      <c r="V15" s="56"/>
    </row>
    <row r="16" spans="1:22" ht="15.75" customHeight="1">
      <c r="A16" s="112" t="s">
        <v>622</v>
      </c>
      <c r="B16" s="112" t="s">
        <v>175</v>
      </c>
      <c r="C16" s="112" t="s">
        <v>596</v>
      </c>
      <c r="D16" s="111">
        <f>59.2/Kecepatan_Kendaraan</f>
        <v>1.3155555555555556</v>
      </c>
      <c r="E16" s="47">
        <f t="shared" si="0"/>
        <v>158</v>
      </c>
      <c r="F16" s="102">
        <f t="shared" si="1"/>
        <v>208</v>
      </c>
      <c r="G16" s="47" t="b">
        <f t="shared" si="2"/>
        <v>1</v>
      </c>
      <c r="K16" s="56" t="s">
        <v>603</v>
      </c>
      <c r="L16" s="56" t="s">
        <v>177</v>
      </c>
      <c r="M16" s="56" t="s">
        <v>596</v>
      </c>
      <c r="N16" s="56">
        <v>1040</v>
      </c>
      <c r="O16" s="111">
        <f>343.092/Kecepatan_Kendaraan</f>
        <v>7.6242666666666663</v>
      </c>
      <c r="P16" s="47">
        <f>IFERROR(FLOOR(Q16/O16,1),"-")</f>
        <v>27</v>
      </c>
      <c r="Q16" s="102">
        <f t="shared" si="3"/>
        <v>208</v>
      </c>
      <c r="R16" s="56"/>
      <c r="S16" s="56"/>
      <c r="T16" s="56"/>
      <c r="U16" s="56"/>
      <c r="V16" s="56"/>
    </row>
    <row r="17" spans="1:22" ht="15.75" customHeight="1">
      <c r="A17" s="112" t="s">
        <v>622</v>
      </c>
      <c r="B17" s="112" t="s">
        <v>177</v>
      </c>
      <c r="C17" s="112" t="s">
        <v>596</v>
      </c>
      <c r="D17" s="111">
        <f>343.092/Kecepatan_Kendaraan</f>
        <v>7.6242666666666663</v>
      </c>
      <c r="E17" s="47">
        <f t="shared" si="0"/>
        <v>27</v>
      </c>
      <c r="F17" s="102">
        <f t="shared" si="1"/>
        <v>208</v>
      </c>
      <c r="G17" s="47" t="b">
        <f t="shared" si="2"/>
        <v>1</v>
      </c>
      <c r="K17" s="56" t="s">
        <v>605</v>
      </c>
      <c r="L17" s="56" t="s">
        <v>179</v>
      </c>
      <c r="M17" s="56" t="s">
        <v>596</v>
      </c>
      <c r="N17" s="56">
        <v>5280</v>
      </c>
      <c r="O17" s="113">
        <f>352.4/Kecepatan_Kendaraan</f>
        <v>7.8311111111111105</v>
      </c>
      <c r="P17" s="47">
        <f>IFERROR(FLOOR(Q17/O17,1),"-")</f>
        <v>26</v>
      </c>
      <c r="Q17" s="102">
        <f t="shared" si="3"/>
        <v>208</v>
      </c>
      <c r="R17" s="56"/>
      <c r="S17" s="56"/>
      <c r="T17" s="56"/>
      <c r="U17" s="56"/>
      <c r="V17" s="56"/>
    </row>
    <row r="18" spans="1:22" ht="15.75" customHeight="1">
      <c r="A18" s="112" t="s">
        <v>622</v>
      </c>
      <c r="B18" s="112" t="s">
        <v>179</v>
      </c>
      <c r="C18" s="112" t="s">
        <v>596</v>
      </c>
      <c r="D18" s="113">
        <f>352.4/Kecepatan_Kendaraan</f>
        <v>7.8311111111111105</v>
      </c>
      <c r="E18" s="47">
        <f t="shared" si="0"/>
        <v>26</v>
      </c>
      <c r="F18" s="102">
        <f t="shared" si="1"/>
        <v>208</v>
      </c>
      <c r="G18" s="47" t="b">
        <f t="shared" si="2"/>
        <v>1</v>
      </c>
      <c r="K18" s="56" t="s">
        <v>606</v>
      </c>
      <c r="L18" s="56" t="s">
        <v>181</v>
      </c>
      <c r="M18" s="56" t="s">
        <v>596</v>
      </c>
      <c r="N18" s="56">
        <v>1800</v>
      </c>
      <c r="O18" s="56" t="s">
        <v>691</v>
      </c>
      <c r="P18" s="56" t="s">
        <v>691</v>
      </c>
      <c r="Q18" s="102">
        <f t="shared" si="3"/>
        <v>208</v>
      </c>
      <c r="R18" s="56"/>
      <c r="S18" s="56"/>
      <c r="T18" s="56"/>
      <c r="U18" s="56"/>
      <c r="V18" s="56"/>
    </row>
    <row r="19" spans="1:22" ht="15.75" customHeight="1">
      <c r="A19" s="53" t="s">
        <v>622</v>
      </c>
      <c r="B19" s="53" t="s">
        <v>181</v>
      </c>
      <c r="C19" s="53" t="s">
        <v>596</v>
      </c>
      <c r="E19" s="47" t="str">
        <f t="shared" si="0"/>
        <v>-</v>
      </c>
      <c r="F19" s="102">
        <f t="shared" si="1"/>
        <v>208</v>
      </c>
      <c r="G19" s="47" t="str">
        <f t="shared" si="2"/>
        <v>-</v>
      </c>
      <c r="K19" s="56" t="s">
        <v>607</v>
      </c>
      <c r="L19" s="56" t="s">
        <v>182</v>
      </c>
      <c r="M19" s="56" t="s">
        <v>596</v>
      </c>
      <c r="N19" s="56">
        <v>1000</v>
      </c>
      <c r="O19" s="111">
        <f>212.077/Kecepatan_Kendaraan</f>
        <v>4.712822222222222</v>
      </c>
      <c r="P19" s="47">
        <f>IFERROR(FLOOR(Q19/O19,1),"-")</f>
        <v>44</v>
      </c>
      <c r="Q19" s="102">
        <f t="shared" si="3"/>
        <v>208</v>
      </c>
      <c r="R19" s="56"/>
      <c r="S19" s="56"/>
      <c r="T19" s="56"/>
      <c r="U19" s="56"/>
      <c r="V19" s="56"/>
    </row>
    <row r="20" spans="1:22" ht="15.75" customHeight="1">
      <c r="A20" s="112" t="s">
        <v>622</v>
      </c>
      <c r="B20" s="112" t="s">
        <v>182</v>
      </c>
      <c r="C20" s="112" t="s">
        <v>596</v>
      </c>
      <c r="D20" s="111">
        <f>212.077/Kecepatan_Kendaraan</f>
        <v>4.712822222222222</v>
      </c>
      <c r="E20" s="47">
        <f t="shared" si="0"/>
        <v>44</v>
      </c>
      <c r="F20" s="102">
        <f t="shared" si="1"/>
        <v>208</v>
      </c>
      <c r="G20" s="47" t="b">
        <f t="shared" si="2"/>
        <v>1</v>
      </c>
      <c r="K20" s="56" t="s">
        <v>609</v>
      </c>
      <c r="L20" s="56" t="s">
        <v>184</v>
      </c>
      <c r="M20" s="56" t="s">
        <v>596</v>
      </c>
      <c r="N20" s="56">
        <v>520</v>
      </c>
      <c r="O20" s="56" t="s">
        <v>691</v>
      </c>
      <c r="P20" s="56" t="s">
        <v>691</v>
      </c>
      <c r="Q20" s="102">
        <f t="shared" si="3"/>
        <v>208</v>
      </c>
      <c r="R20" s="56"/>
      <c r="S20" s="56"/>
      <c r="T20" s="56"/>
      <c r="U20" s="56"/>
      <c r="V20" s="56"/>
    </row>
    <row r="21" spans="1:22" ht="15.75" customHeight="1">
      <c r="A21" s="53" t="s">
        <v>622</v>
      </c>
      <c r="B21" s="53" t="s">
        <v>184</v>
      </c>
      <c r="C21" s="53" t="s">
        <v>596</v>
      </c>
      <c r="E21" s="47" t="str">
        <f t="shared" si="0"/>
        <v>-</v>
      </c>
      <c r="F21" s="102">
        <f t="shared" si="1"/>
        <v>208</v>
      </c>
      <c r="G21" s="47" t="str">
        <f t="shared" si="2"/>
        <v>-</v>
      </c>
      <c r="K21" s="56" t="s">
        <v>692</v>
      </c>
      <c r="L21" s="56" t="s">
        <v>561</v>
      </c>
      <c r="M21" s="56" t="s">
        <v>678</v>
      </c>
      <c r="N21" s="56">
        <v>200</v>
      </c>
      <c r="O21" s="56" t="s">
        <v>691</v>
      </c>
      <c r="P21" s="56" t="s">
        <v>691</v>
      </c>
      <c r="Q21" s="102">
        <f t="shared" si="3"/>
        <v>208</v>
      </c>
      <c r="R21" s="56"/>
      <c r="S21" s="56"/>
      <c r="T21" s="56"/>
      <c r="U21" s="56"/>
      <c r="V21" s="56"/>
    </row>
    <row r="22" spans="1:22" ht="15.75" customHeight="1">
      <c r="A22" s="112" t="s">
        <v>550</v>
      </c>
      <c r="B22" s="112" t="s">
        <v>162</v>
      </c>
      <c r="C22" s="112" t="s">
        <v>552</v>
      </c>
      <c r="D22" s="105">
        <f>275.58/Kecepatan_Kendaraan</f>
        <v>6.1239999999999997</v>
      </c>
      <c r="E22" s="47">
        <f t="shared" si="0"/>
        <v>33</v>
      </c>
      <c r="F22" s="102">
        <f t="shared" si="1"/>
        <v>208</v>
      </c>
      <c r="G22" s="47" t="b">
        <f t="shared" si="2"/>
        <v>1</v>
      </c>
      <c r="K22" s="56" t="s">
        <v>693</v>
      </c>
      <c r="L22" s="56" t="s">
        <v>613</v>
      </c>
      <c r="M22" s="56" t="s">
        <v>678</v>
      </c>
      <c r="N22" s="56">
        <v>400</v>
      </c>
      <c r="O22" s="56" t="s">
        <v>691</v>
      </c>
      <c r="P22" s="56" t="s">
        <v>691</v>
      </c>
      <c r="Q22" s="102">
        <f t="shared" si="3"/>
        <v>208</v>
      </c>
      <c r="R22" s="56"/>
      <c r="S22" s="56"/>
      <c r="T22" s="56"/>
      <c r="U22" s="56"/>
      <c r="V22" s="56"/>
    </row>
    <row r="23" spans="1:22" ht="15.75" customHeight="1">
      <c r="A23" s="114" t="s">
        <v>550</v>
      </c>
      <c r="B23" s="114" t="s">
        <v>164</v>
      </c>
      <c r="C23" s="114" t="s">
        <v>552</v>
      </c>
      <c r="D23" s="106">
        <f>357.38/Kecepatan_Kendaraan</f>
        <v>7.9417777777777774</v>
      </c>
      <c r="E23" s="47">
        <v>26</v>
      </c>
      <c r="F23" s="102">
        <f t="shared" si="1"/>
        <v>208</v>
      </c>
      <c r="G23" s="47" t="b">
        <f t="shared" si="2"/>
        <v>1</v>
      </c>
      <c r="K23" s="56" t="s">
        <v>694</v>
      </c>
      <c r="L23" s="56" t="s">
        <v>566</v>
      </c>
      <c r="M23" s="56" t="s">
        <v>678</v>
      </c>
      <c r="N23" s="56">
        <v>600</v>
      </c>
      <c r="O23" s="56" t="s">
        <v>691</v>
      </c>
      <c r="P23" s="56" t="s">
        <v>691</v>
      </c>
      <c r="Q23" s="102">
        <f t="shared" si="3"/>
        <v>208</v>
      </c>
      <c r="R23" s="56"/>
      <c r="S23" s="56"/>
      <c r="T23" s="56"/>
      <c r="U23" s="56"/>
      <c r="V23" s="56"/>
    </row>
    <row r="24" spans="1:22" ht="15.75" customHeight="1">
      <c r="A24" s="115" t="s">
        <v>550</v>
      </c>
      <c r="B24" s="115" t="s">
        <v>166</v>
      </c>
      <c r="C24" s="115" t="s">
        <v>552</v>
      </c>
      <c r="D24" s="107">
        <f>396.91/Kecepatan_Kendaraan</f>
        <v>8.8202222222222222</v>
      </c>
      <c r="E24" s="47">
        <f t="shared" ref="E24:E33" si="4">IFERROR(FLOOR(F24/D24,1),"-")</f>
        <v>23</v>
      </c>
      <c r="F24" s="102">
        <f t="shared" si="1"/>
        <v>208</v>
      </c>
      <c r="G24" s="47" t="b">
        <f t="shared" si="2"/>
        <v>1</v>
      </c>
      <c r="K24" s="56" t="s">
        <v>695</v>
      </c>
      <c r="L24" s="56" t="s">
        <v>568</v>
      </c>
      <c r="M24" s="56" t="s">
        <v>678</v>
      </c>
      <c r="N24" s="56">
        <v>1120</v>
      </c>
      <c r="O24" s="106">
        <f>134.66/Kecepatan_Kendaraan</f>
        <v>2.9924444444444442</v>
      </c>
      <c r="P24" s="47">
        <f>IFERROR(FLOOR(Q24/O24,1),"-")</f>
        <v>69</v>
      </c>
      <c r="Q24" s="102">
        <f t="shared" si="3"/>
        <v>208</v>
      </c>
      <c r="R24" s="56"/>
      <c r="S24" s="56"/>
      <c r="T24" s="56"/>
      <c r="U24" s="56"/>
      <c r="V24" s="56"/>
    </row>
    <row r="25" spans="1:22" ht="15.75" customHeight="1">
      <c r="A25" s="115" t="s">
        <v>550</v>
      </c>
      <c r="B25" s="115" t="s">
        <v>168</v>
      </c>
      <c r="C25" s="115" t="s">
        <v>552</v>
      </c>
      <c r="D25" s="108">
        <f>589.5/Kecepatan_Kendaraan</f>
        <v>13.1</v>
      </c>
      <c r="E25" s="47">
        <f t="shared" si="4"/>
        <v>15</v>
      </c>
      <c r="F25" s="102">
        <f t="shared" si="1"/>
        <v>208</v>
      </c>
      <c r="G25" s="47" t="b">
        <f t="shared" si="2"/>
        <v>1</v>
      </c>
      <c r="K25" s="56" t="s">
        <v>696</v>
      </c>
      <c r="L25" s="56" t="s">
        <v>614</v>
      </c>
      <c r="M25" s="56" t="s">
        <v>678</v>
      </c>
      <c r="N25" s="56">
        <v>1240</v>
      </c>
      <c r="O25" s="56" t="s">
        <v>691</v>
      </c>
      <c r="P25" s="56" t="s">
        <v>691</v>
      </c>
      <c r="Q25" s="102">
        <f t="shared" si="3"/>
        <v>208</v>
      </c>
      <c r="R25" s="56"/>
      <c r="S25" s="56"/>
      <c r="T25" s="56"/>
      <c r="U25" s="56"/>
      <c r="V25" s="56"/>
    </row>
    <row r="26" spans="1:22" ht="15.75" customHeight="1">
      <c r="A26" s="53" t="s">
        <v>550</v>
      </c>
      <c r="B26" s="53" t="s">
        <v>561</v>
      </c>
      <c r="C26" s="53" t="s">
        <v>678</v>
      </c>
      <c r="E26" s="47" t="str">
        <f t="shared" si="4"/>
        <v>-</v>
      </c>
      <c r="F26" s="102">
        <f t="shared" si="1"/>
        <v>208</v>
      </c>
      <c r="G26" s="47" t="str">
        <f t="shared" si="2"/>
        <v>-</v>
      </c>
      <c r="K26" s="56" t="s">
        <v>697</v>
      </c>
      <c r="L26" s="56" t="s">
        <v>573</v>
      </c>
      <c r="M26" s="56" t="s">
        <v>678</v>
      </c>
      <c r="N26" s="56">
        <v>320</v>
      </c>
      <c r="O26" s="56" t="s">
        <v>691</v>
      </c>
      <c r="P26" s="56" t="s">
        <v>691</v>
      </c>
      <c r="Q26" s="102">
        <f t="shared" si="3"/>
        <v>208</v>
      </c>
      <c r="R26" s="56"/>
      <c r="S26" s="56"/>
      <c r="T26" s="56"/>
      <c r="U26" s="56"/>
      <c r="V26" s="56"/>
    </row>
    <row r="27" spans="1:22" ht="15.75" customHeight="1">
      <c r="A27" s="53" t="s">
        <v>550</v>
      </c>
      <c r="B27" s="53" t="s">
        <v>566</v>
      </c>
      <c r="C27" s="53" t="s">
        <v>678</v>
      </c>
      <c r="E27" s="47" t="str">
        <f t="shared" si="4"/>
        <v>-</v>
      </c>
      <c r="F27" s="102">
        <f t="shared" si="1"/>
        <v>208</v>
      </c>
      <c r="G27" s="47" t="str">
        <f t="shared" si="2"/>
        <v>-</v>
      </c>
      <c r="K27" s="56" t="s">
        <v>698</v>
      </c>
      <c r="L27" s="56" t="s">
        <v>574</v>
      </c>
      <c r="M27" s="56" t="s">
        <v>678</v>
      </c>
      <c r="N27" s="56">
        <v>400</v>
      </c>
      <c r="O27" s="56" t="s">
        <v>691</v>
      </c>
      <c r="P27" s="56" t="s">
        <v>691</v>
      </c>
      <c r="Q27" s="102">
        <f t="shared" si="3"/>
        <v>208</v>
      </c>
      <c r="R27" s="56"/>
      <c r="S27" s="56"/>
      <c r="T27" s="56"/>
      <c r="U27" s="56"/>
      <c r="V27" s="56"/>
    </row>
    <row r="28" spans="1:22" ht="15.75" customHeight="1">
      <c r="A28" s="114" t="s">
        <v>550</v>
      </c>
      <c r="B28" s="114" t="s">
        <v>568</v>
      </c>
      <c r="C28" s="114" t="s">
        <v>678</v>
      </c>
      <c r="D28" s="106">
        <f>134.66/Kecepatan_Kendaraan</f>
        <v>2.9924444444444442</v>
      </c>
      <c r="E28" s="47">
        <f t="shared" si="4"/>
        <v>69</v>
      </c>
      <c r="F28" s="102">
        <f t="shared" si="1"/>
        <v>208</v>
      </c>
      <c r="G28" s="47" t="b">
        <f t="shared" si="2"/>
        <v>1</v>
      </c>
      <c r="K28" s="56" t="s">
        <v>699</v>
      </c>
      <c r="L28" s="56" t="s">
        <v>615</v>
      </c>
      <c r="M28" s="56" t="s">
        <v>678</v>
      </c>
      <c r="N28" s="56">
        <v>960</v>
      </c>
      <c r="O28" s="56" t="s">
        <v>691</v>
      </c>
      <c r="P28" s="56" t="s">
        <v>691</v>
      </c>
      <c r="Q28" s="102">
        <f t="shared" si="3"/>
        <v>208</v>
      </c>
      <c r="R28" s="56"/>
      <c r="S28" s="56"/>
      <c r="T28" s="56"/>
      <c r="U28" s="56"/>
      <c r="V28" s="56"/>
    </row>
    <row r="29" spans="1:22" ht="15.75" customHeight="1">
      <c r="A29" s="53" t="s">
        <v>550</v>
      </c>
      <c r="B29" s="53" t="s">
        <v>573</v>
      </c>
      <c r="C29" s="53" t="s">
        <v>678</v>
      </c>
      <c r="E29" s="47" t="str">
        <f t="shared" si="4"/>
        <v>-</v>
      </c>
      <c r="F29" s="102">
        <f t="shared" si="1"/>
        <v>208</v>
      </c>
      <c r="G29" s="47" t="str">
        <f t="shared" si="2"/>
        <v>-</v>
      </c>
      <c r="K29" s="56" t="s">
        <v>700</v>
      </c>
      <c r="L29" s="56" t="s">
        <v>577</v>
      </c>
      <c r="M29" s="56" t="s">
        <v>678</v>
      </c>
      <c r="N29" s="56">
        <v>1640</v>
      </c>
      <c r="O29" s="116">
        <f>138.45/Kecepatan_Kendaraan</f>
        <v>3.0766666666666662</v>
      </c>
      <c r="P29" s="117">
        <f>IFERROR(FLOOR(Q29/O29,1),"-")</f>
        <v>67</v>
      </c>
      <c r="Q29" s="102">
        <f t="shared" si="3"/>
        <v>208</v>
      </c>
      <c r="R29" s="56"/>
      <c r="S29" s="56"/>
      <c r="T29" s="56"/>
      <c r="U29" s="56"/>
      <c r="V29" s="56"/>
    </row>
    <row r="30" spans="1:22" ht="15.75" customHeight="1">
      <c r="A30" s="53" t="s">
        <v>550</v>
      </c>
      <c r="B30" s="53" t="s">
        <v>574</v>
      </c>
      <c r="C30" s="53" t="s">
        <v>678</v>
      </c>
      <c r="E30" s="47" t="str">
        <f t="shared" si="4"/>
        <v>-</v>
      </c>
      <c r="F30" s="102">
        <f t="shared" si="1"/>
        <v>208</v>
      </c>
      <c r="G30" s="47" t="str">
        <f t="shared" si="2"/>
        <v>-</v>
      </c>
      <c r="K30" s="56" t="s">
        <v>701</v>
      </c>
      <c r="L30" s="56" t="s">
        <v>579</v>
      </c>
      <c r="M30" s="56" t="s">
        <v>678</v>
      </c>
      <c r="N30" s="56">
        <v>1480</v>
      </c>
      <c r="O30" s="118">
        <f>103.54/Kecepatan_Kendaraan</f>
        <v>2.3008888888888892</v>
      </c>
      <c r="P30" s="117">
        <f>IFERROR(FLOOR(Q30/O30,1),"-")</f>
        <v>90</v>
      </c>
      <c r="Q30" s="102">
        <f t="shared" si="3"/>
        <v>208</v>
      </c>
      <c r="R30" s="56"/>
      <c r="S30" s="56"/>
      <c r="T30" s="56"/>
      <c r="U30" s="56"/>
      <c r="V30" s="56"/>
    </row>
    <row r="31" spans="1:22" ht="15.75" customHeight="1">
      <c r="A31" s="69" t="s">
        <v>550</v>
      </c>
      <c r="B31" s="69" t="s">
        <v>577</v>
      </c>
      <c r="C31" s="69" t="s">
        <v>678</v>
      </c>
      <c r="D31" s="116">
        <f>138.45/Kecepatan_Kendaraan</f>
        <v>3.0766666666666662</v>
      </c>
      <c r="E31" s="47">
        <f t="shared" si="4"/>
        <v>67</v>
      </c>
      <c r="F31" s="102">
        <f t="shared" si="1"/>
        <v>208</v>
      </c>
      <c r="G31" s="47" t="b">
        <f t="shared" si="2"/>
        <v>1</v>
      </c>
      <c r="K31" s="56" t="s">
        <v>702</v>
      </c>
      <c r="L31" s="56" t="s">
        <v>582</v>
      </c>
      <c r="M31" s="56" t="s">
        <v>678</v>
      </c>
      <c r="N31" s="56">
        <v>800</v>
      </c>
      <c r="O31" s="56" t="s">
        <v>691</v>
      </c>
      <c r="P31" s="56" t="s">
        <v>691</v>
      </c>
      <c r="Q31" s="102">
        <f t="shared" si="3"/>
        <v>208</v>
      </c>
      <c r="R31" s="56"/>
      <c r="S31" s="56"/>
      <c r="T31" s="56"/>
      <c r="U31" s="56"/>
      <c r="V31" s="56"/>
    </row>
    <row r="32" spans="1:22" ht="15.75" customHeight="1">
      <c r="A32" s="69" t="s">
        <v>550</v>
      </c>
      <c r="B32" s="69" t="s">
        <v>579</v>
      </c>
      <c r="C32" s="69" t="s">
        <v>678</v>
      </c>
      <c r="D32" s="119">
        <f>103.54/Kecepatan_Kendaraan</f>
        <v>2.3008888888888892</v>
      </c>
      <c r="E32" s="47">
        <f t="shared" si="4"/>
        <v>90</v>
      </c>
      <c r="F32" s="102">
        <f t="shared" si="1"/>
        <v>208</v>
      </c>
      <c r="G32" s="47" t="b">
        <f t="shared" si="2"/>
        <v>1</v>
      </c>
      <c r="K32" s="56" t="s">
        <v>703</v>
      </c>
      <c r="L32" s="56" t="s">
        <v>616</v>
      </c>
      <c r="M32" s="56" t="s">
        <v>678</v>
      </c>
      <c r="N32" s="56">
        <v>320</v>
      </c>
      <c r="O32" s="56" t="s">
        <v>691</v>
      </c>
      <c r="P32" s="56" t="s">
        <v>691</v>
      </c>
      <c r="Q32" s="102">
        <f t="shared" si="3"/>
        <v>208</v>
      </c>
      <c r="R32" s="56"/>
      <c r="S32" s="56"/>
      <c r="T32" s="56"/>
      <c r="U32" s="56"/>
      <c r="V32" s="56"/>
    </row>
    <row r="33" spans="1:17" ht="15.75" customHeight="1">
      <c r="A33" s="53" t="s">
        <v>550</v>
      </c>
      <c r="B33" s="53" t="s">
        <v>582</v>
      </c>
      <c r="C33" s="53" t="s">
        <v>678</v>
      </c>
      <c r="E33" s="47" t="str">
        <f t="shared" si="4"/>
        <v>-</v>
      </c>
      <c r="F33" s="102">
        <f t="shared" si="1"/>
        <v>208</v>
      </c>
      <c r="G33" s="47" t="str">
        <f t="shared" si="2"/>
        <v>-</v>
      </c>
      <c r="Q33" s="102">
        <f t="shared" si="3"/>
        <v>208</v>
      </c>
    </row>
  </sheetData>
  <mergeCells count="3">
    <mergeCell ref="A1:G1"/>
    <mergeCell ref="A2:G2"/>
    <mergeCell ref="A3:G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X53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2.6328125" defaultRowHeight="12.5"/>
  <cols>
    <col min="1" max="1" width="15.7265625" customWidth="1"/>
    <col min="2" max="2" width="13.7265625" customWidth="1"/>
    <col min="4" max="4" width="19.26953125" customWidth="1"/>
    <col min="5" max="5" width="13.26953125" customWidth="1"/>
    <col min="7" max="7" width="15.08984375" customWidth="1"/>
    <col min="8" max="8" width="14.08984375" customWidth="1"/>
    <col min="20" max="20" width="14.453125" customWidth="1"/>
    <col min="23" max="23" width="15.26953125" customWidth="1"/>
  </cols>
  <sheetData>
    <row r="1" spans="1:24" ht="15.75" customHeight="1">
      <c r="A1" s="120" t="s">
        <v>704</v>
      </c>
      <c r="B1" s="121" t="s">
        <v>705</v>
      </c>
      <c r="C1" s="121" t="s">
        <v>706</v>
      </c>
      <c r="D1" s="121" t="s">
        <v>707</v>
      </c>
      <c r="E1" s="122" t="s">
        <v>708</v>
      </c>
    </row>
    <row r="2" spans="1:24" ht="15.75" customHeight="1">
      <c r="A2" s="94" t="s">
        <v>595</v>
      </c>
      <c r="B2" s="89" t="s">
        <v>170</v>
      </c>
      <c r="C2" s="99" t="s">
        <v>709</v>
      </c>
      <c r="D2" s="89" t="s">
        <v>602</v>
      </c>
      <c r="E2" s="90">
        <v>161.958</v>
      </c>
      <c r="F2" s="47">
        <f t="shared" ref="F2:F7" si="0">E2*2</f>
        <v>323.916</v>
      </c>
      <c r="G2" s="123">
        <f t="shared" ref="G2:G7" si="1">F2/45</f>
        <v>7.1981333333333328</v>
      </c>
      <c r="H2" s="47">
        <f t="shared" ref="H2:H7" si="2">ROUNDUP(G2/(8*30),0)</f>
        <v>1</v>
      </c>
      <c r="I2" s="47">
        <f>G2/L2</f>
        <v>4.4988333333333332E-2</v>
      </c>
      <c r="J2" s="47">
        <f>ROUNDUP(I2/L3,0)</f>
        <v>1</v>
      </c>
      <c r="K2" s="47" t="s">
        <v>710</v>
      </c>
      <c r="L2" s="47">
        <v>160</v>
      </c>
      <c r="N2" s="124" t="s">
        <v>704</v>
      </c>
      <c r="O2" s="125" t="s">
        <v>705</v>
      </c>
      <c r="P2" s="125" t="s">
        <v>706</v>
      </c>
      <c r="Q2" s="125" t="s">
        <v>707</v>
      </c>
      <c r="R2" s="126" t="s">
        <v>708</v>
      </c>
      <c r="T2" s="127" t="s">
        <v>704</v>
      </c>
      <c r="U2" s="127" t="s">
        <v>711</v>
      </c>
      <c r="V2" s="127" t="s">
        <v>712</v>
      </c>
      <c r="W2" s="127" t="s">
        <v>705</v>
      </c>
      <c r="X2" s="127" t="s">
        <v>713</v>
      </c>
    </row>
    <row r="3" spans="1:24" ht="15.75" customHeight="1">
      <c r="A3" s="94" t="s">
        <v>598</v>
      </c>
      <c r="B3" s="89" t="s">
        <v>172</v>
      </c>
      <c r="C3" s="99" t="s">
        <v>714</v>
      </c>
      <c r="D3" s="89" t="s">
        <v>592</v>
      </c>
      <c r="E3" s="90">
        <v>144.846</v>
      </c>
      <c r="F3" s="47">
        <f t="shared" si="0"/>
        <v>289.69200000000001</v>
      </c>
      <c r="G3" s="123">
        <f t="shared" si="1"/>
        <v>6.4375999999999998</v>
      </c>
      <c r="H3" s="47">
        <f t="shared" si="2"/>
        <v>1</v>
      </c>
      <c r="K3" s="47" t="s">
        <v>715</v>
      </c>
      <c r="L3" s="47">
        <v>10</v>
      </c>
      <c r="N3" s="128" t="s">
        <v>603</v>
      </c>
      <c r="O3" s="128" t="s">
        <v>177</v>
      </c>
      <c r="P3" s="128" t="s">
        <v>716</v>
      </c>
      <c r="Q3" s="128" t="s">
        <v>717</v>
      </c>
      <c r="R3" s="129">
        <v>343.09199999999998</v>
      </c>
      <c r="T3" s="130" t="s">
        <v>595</v>
      </c>
      <c r="U3" s="131" t="s">
        <v>170</v>
      </c>
      <c r="V3" s="131" t="s">
        <v>709</v>
      </c>
      <c r="W3" s="131" t="s">
        <v>602</v>
      </c>
      <c r="X3" s="132">
        <v>161.958</v>
      </c>
    </row>
    <row r="4" spans="1:24" ht="15.75" customHeight="1">
      <c r="A4" s="94" t="s">
        <v>598</v>
      </c>
      <c r="B4" s="89" t="s">
        <v>172</v>
      </c>
      <c r="C4" s="99" t="s">
        <v>718</v>
      </c>
      <c r="D4" s="89" t="s">
        <v>593</v>
      </c>
      <c r="E4" s="90">
        <v>203.11099999999999</v>
      </c>
      <c r="F4" s="47">
        <f t="shared" si="0"/>
        <v>406.22199999999998</v>
      </c>
      <c r="G4" s="123">
        <f t="shared" si="1"/>
        <v>9.0271555555555558</v>
      </c>
      <c r="H4" s="47">
        <f t="shared" si="2"/>
        <v>1</v>
      </c>
      <c r="N4" s="128" t="s">
        <v>562</v>
      </c>
      <c r="O4" s="128" t="s">
        <v>166</v>
      </c>
      <c r="P4" s="128" t="s">
        <v>719</v>
      </c>
      <c r="Q4" s="128" t="s">
        <v>557</v>
      </c>
      <c r="R4" s="129">
        <v>55.4</v>
      </c>
      <c r="T4" s="130" t="s">
        <v>598</v>
      </c>
      <c r="U4" s="131" t="s">
        <v>172</v>
      </c>
      <c r="V4" s="131" t="s">
        <v>714</v>
      </c>
      <c r="W4" s="131" t="s">
        <v>592</v>
      </c>
      <c r="X4" s="132">
        <v>144.846</v>
      </c>
    </row>
    <row r="5" spans="1:24" ht="15.75" customHeight="1">
      <c r="A5" s="94" t="s">
        <v>598</v>
      </c>
      <c r="B5" s="89" t="s">
        <v>172</v>
      </c>
      <c r="C5" s="99" t="s">
        <v>720</v>
      </c>
      <c r="D5" s="89" t="s">
        <v>604</v>
      </c>
      <c r="E5" s="90">
        <v>94.263999999999996</v>
      </c>
      <c r="F5" s="47">
        <f t="shared" si="0"/>
        <v>188.52799999999999</v>
      </c>
      <c r="G5" s="123">
        <f t="shared" si="1"/>
        <v>4.189511111111111</v>
      </c>
      <c r="H5" s="47">
        <f t="shared" si="2"/>
        <v>1</v>
      </c>
      <c r="N5" s="94" t="s">
        <v>598</v>
      </c>
      <c r="O5" s="128" t="s">
        <v>172</v>
      </c>
      <c r="P5" s="128" t="s">
        <v>714</v>
      </c>
      <c r="Q5" s="128" t="s">
        <v>592</v>
      </c>
      <c r="R5" s="129">
        <v>144.846</v>
      </c>
      <c r="T5" s="130" t="s">
        <v>598</v>
      </c>
      <c r="U5" s="131" t="s">
        <v>172</v>
      </c>
      <c r="V5" s="131" t="s">
        <v>718</v>
      </c>
      <c r="W5" s="131" t="s">
        <v>593</v>
      </c>
      <c r="X5" s="132">
        <v>203.11099999999999</v>
      </c>
    </row>
    <row r="6" spans="1:24" ht="15.75" customHeight="1">
      <c r="A6" s="94" t="s">
        <v>601</v>
      </c>
      <c r="B6" s="89" t="s">
        <v>175</v>
      </c>
      <c r="C6" s="99" t="s">
        <v>721</v>
      </c>
      <c r="D6" s="89" t="s">
        <v>594</v>
      </c>
      <c r="E6" s="90">
        <v>59.2</v>
      </c>
      <c r="F6" s="47">
        <f t="shared" si="0"/>
        <v>118.4</v>
      </c>
      <c r="G6" s="123">
        <f t="shared" si="1"/>
        <v>2.6311111111111112</v>
      </c>
      <c r="H6" s="47">
        <f t="shared" si="2"/>
        <v>1</v>
      </c>
      <c r="N6" s="128" t="s">
        <v>701</v>
      </c>
      <c r="O6" s="128" t="s">
        <v>579</v>
      </c>
      <c r="P6" s="128" t="s">
        <v>722</v>
      </c>
      <c r="Q6" s="128" t="s">
        <v>559</v>
      </c>
      <c r="R6" s="129">
        <v>62.41</v>
      </c>
      <c r="T6" s="130" t="s">
        <v>598</v>
      </c>
      <c r="U6" s="131" t="s">
        <v>172</v>
      </c>
      <c r="V6" s="131" t="s">
        <v>720</v>
      </c>
      <c r="W6" s="131" t="s">
        <v>604</v>
      </c>
      <c r="X6" s="132">
        <v>94.263999999999996</v>
      </c>
    </row>
    <row r="7" spans="1:24" ht="15.75" customHeight="1">
      <c r="A7" s="99" t="s">
        <v>695</v>
      </c>
      <c r="B7" s="89" t="s">
        <v>568</v>
      </c>
      <c r="C7" s="99" t="s">
        <v>723</v>
      </c>
      <c r="D7" s="89" t="s">
        <v>576</v>
      </c>
      <c r="E7" s="98">
        <v>134.66</v>
      </c>
      <c r="F7" s="47">
        <f t="shared" si="0"/>
        <v>269.32</v>
      </c>
      <c r="G7" s="123">
        <f t="shared" si="1"/>
        <v>5.9848888888888885</v>
      </c>
      <c r="H7" s="47">
        <f t="shared" si="2"/>
        <v>1</v>
      </c>
      <c r="N7" s="94" t="s">
        <v>598</v>
      </c>
      <c r="O7" s="128" t="s">
        <v>172</v>
      </c>
      <c r="P7" s="128" t="s">
        <v>718</v>
      </c>
      <c r="Q7" s="128" t="s">
        <v>593</v>
      </c>
      <c r="R7" s="129">
        <v>203.11099999999999</v>
      </c>
      <c r="T7" s="130" t="s">
        <v>601</v>
      </c>
      <c r="U7" s="131" t="s">
        <v>175</v>
      </c>
      <c r="V7" s="131" t="s">
        <v>721</v>
      </c>
      <c r="W7" s="131" t="s">
        <v>594</v>
      </c>
      <c r="X7" s="133">
        <v>59.2</v>
      </c>
    </row>
    <row r="8" spans="1:24" ht="15.75" customHeight="1">
      <c r="A8" s="89" t="s">
        <v>556</v>
      </c>
      <c r="B8" s="99" t="s">
        <v>162</v>
      </c>
      <c r="C8" s="99" t="s">
        <v>724</v>
      </c>
      <c r="D8" s="89" t="s">
        <v>571</v>
      </c>
      <c r="E8" s="98">
        <v>154.22</v>
      </c>
      <c r="N8" s="128" t="s">
        <v>700</v>
      </c>
      <c r="O8" s="128" t="s">
        <v>577</v>
      </c>
      <c r="P8" s="128" t="s">
        <v>725</v>
      </c>
      <c r="Q8" s="128" t="s">
        <v>563</v>
      </c>
      <c r="R8" s="129">
        <v>49.98</v>
      </c>
      <c r="T8" s="131" t="s">
        <v>558</v>
      </c>
      <c r="U8" s="131" t="s">
        <v>160</v>
      </c>
      <c r="V8" s="131" t="s">
        <v>693</v>
      </c>
      <c r="W8" s="131" t="s">
        <v>613</v>
      </c>
      <c r="X8" s="134">
        <v>440.971</v>
      </c>
    </row>
    <row r="9" spans="1:24" ht="15.75" customHeight="1">
      <c r="A9" s="89" t="s">
        <v>556</v>
      </c>
      <c r="B9" s="99" t="s">
        <v>162</v>
      </c>
      <c r="C9" s="99" t="s">
        <v>726</v>
      </c>
      <c r="D9" s="89" t="s">
        <v>588</v>
      </c>
      <c r="E9" s="98">
        <v>13.78</v>
      </c>
      <c r="N9" s="128" t="s">
        <v>562</v>
      </c>
      <c r="O9" s="128" t="s">
        <v>166</v>
      </c>
      <c r="P9" s="128" t="s">
        <v>727</v>
      </c>
      <c r="Q9" s="128" t="s">
        <v>565</v>
      </c>
      <c r="R9" s="135">
        <v>47.8</v>
      </c>
      <c r="T9" s="131" t="s">
        <v>695</v>
      </c>
      <c r="U9" s="131" t="s">
        <v>568</v>
      </c>
      <c r="V9" s="131" t="s">
        <v>723</v>
      </c>
      <c r="W9" s="131" t="s">
        <v>576</v>
      </c>
      <c r="X9" s="133">
        <v>134.66</v>
      </c>
    </row>
    <row r="10" spans="1:24" ht="15.75" customHeight="1">
      <c r="A10" s="89" t="s">
        <v>556</v>
      </c>
      <c r="B10" s="99" t="s">
        <v>162</v>
      </c>
      <c r="C10" s="99" t="s">
        <v>692</v>
      </c>
      <c r="D10" s="89" t="s">
        <v>561</v>
      </c>
      <c r="E10" s="98">
        <v>275.58</v>
      </c>
      <c r="N10" s="94" t="s">
        <v>601</v>
      </c>
      <c r="O10" s="128" t="s">
        <v>175</v>
      </c>
      <c r="P10" s="128" t="s">
        <v>721</v>
      </c>
      <c r="Q10" s="128" t="s">
        <v>594</v>
      </c>
      <c r="R10" s="129">
        <v>59.2</v>
      </c>
      <c r="T10" s="131" t="s">
        <v>728</v>
      </c>
      <c r="U10" s="131" t="s">
        <v>729</v>
      </c>
      <c r="V10" s="131" t="s">
        <v>551</v>
      </c>
      <c r="W10" s="131" t="s">
        <v>158</v>
      </c>
      <c r="X10" s="132">
        <v>1044.4659999999999</v>
      </c>
    </row>
    <row r="11" spans="1:24" ht="15.75" customHeight="1">
      <c r="A11" s="89" t="s">
        <v>558</v>
      </c>
      <c r="B11" s="89" t="s">
        <v>160</v>
      </c>
      <c r="C11" s="99" t="s">
        <v>693</v>
      </c>
      <c r="D11" s="89" t="s">
        <v>613</v>
      </c>
      <c r="E11" s="92">
        <v>440.971</v>
      </c>
      <c r="F11" s="47">
        <f>COUNT(Table1[Jarak(KM)])</f>
        <v>42</v>
      </c>
      <c r="N11" s="128" t="s">
        <v>560</v>
      </c>
      <c r="O11" s="128" t="s">
        <v>164</v>
      </c>
      <c r="P11" s="128" t="s">
        <v>730</v>
      </c>
      <c r="Q11" s="128" t="s">
        <v>567</v>
      </c>
      <c r="R11" s="129">
        <v>200</v>
      </c>
      <c r="T11" s="131" t="s">
        <v>728</v>
      </c>
      <c r="U11" s="131" t="s">
        <v>729</v>
      </c>
      <c r="V11" s="131" t="s">
        <v>558</v>
      </c>
      <c r="W11" s="131" t="s">
        <v>160</v>
      </c>
      <c r="X11" s="132">
        <v>1144.6279999999999</v>
      </c>
    </row>
    <row r="12" spans="1:24" ht="15.75" customHeight="1">
      <c r="A12" s="89" t="s">
        <v>558</v>
      </c>
      <c r="B12" s="89" t="s">
        <v>160</v>
      </c>
      <c r="C12" s="99" t="s">
        <v>696</v>
      </c>
      <c r="D12" s="89" t="s">
        <v>614</v>
      </c>
      <c r="E12" s="90">
        <v>1046.393</v>
      </c>
      <c r="N12" s="128" t="s">
        <v>560</v>
      </c>
      <c r="O12" s="128" t="s">
        <v>164</v>
      </c>
      <c r="P12" s="128" t="s">
        <v>731</v>
      </c>
      <c r="Q12" s="128" t="s">
        <v>569</v>
      </c>
      <c r="R12" s="129">
        <v>16.37</v>
      </c>
      <c r="T12" s="131" t="s">
        <v>556</v>
      </c>
      <c r="U12" s="131" t="s">
        <v>162</v>
      </c>
      <c r="V12" s="131" t="s">
        <v>692</v>
      </c>
      <c r="W12" s="131" t="s">
        <v>561</v>
      </c>
      <c r="X12" s="133">
        <v>275.58</v>
      </c>
    </row>
    <row r="13" spans="1:24" ht="15.75" customHeight="1">
      <c r="A13" s="89" t="s">
        <v>558</v>
      </c>
      <c r="B13" s="89" t="s">
        <v>160</v>
      </c>
      <c r="C13" s="99" t="s">
        <v>699</v>
      </c>
      <c r="D13" s="89" t="s">
        <v>615</v>
      </c>
      <c r="E13" s="90">
        <v>924.61900000000003</v>
      </c>
      <c r="N13" s="128" t="s">
        <v>560</v>
      </c>
      <c r="O13" s="128" t="s">
        <v>164</v>
      </c>
      <c r="P13" s="128" t="s">
        <v>732</v>
      </c>
      <c r="Q13" s="128" t="s">
        <v>570</v>
      </c>
      <c r="R13" s="129">
        <v>97.42</v>
      </c>
      <c r="T13" s="131" t="s">
        <v>556</v>
      </c>
      <c r="U13" s="131" t="s">
        <v>162</v>
      </c>
      <c r="V13" s="131" t="s">
        <v>724</v>
      </c>
      <c r="W13" s="131" t="s">
        <v>571</v>
      </c>
      <c r="X13" s="133">
        <v>154.22</v>
      </c>
    </row>
    <row r="14" spans="1:24" ht="15.75" customHeight="1">
      <c r="A14" s="89" t="s">
        <v>558</v>
      </c>
      <c r="B14" s="89" t="s">
        <v>160</v>
      </c>
      <c r="C14" s="99" t="s">
        <v>703</v>
      </c>
      <c r="D14" s="89" t="s">
        <v>616</v>
      </c>
      <c r="E14" s="90">
        <v>179.48500000000001</v>
      </c>
      <c r="N14" s="94" t="s">
        <v>605</v>
      </c>
      <c r="O14" s="136" t="s">
        <v>179</v>
      </c>
      <c r="P14" s="137" t="s">
        <v>733</v>
      </c>
      <c r="Q14" s="136" t="s">
        <v>597</v>
      </c>
      <c r="R14" s="135">
        <v>352.4</v>
      </c>
      <c r="T14" s="131" t="s">
        <v>556</v>
      </c>
      <c r="U14" s="131" t="s">
        <v>162</v>
      </c>
      <c r="V14" s="131" t="s">
        <v>726</v>
      </c>
      <c r="W14" s="131" t="s">
        <v>588</v>
      </c>
      <c r="X14" s="133">
        <v>13.78</v>
      </c>
    </row>
    <row r="15" spans="1:24" ht="15.75" customHeight="1">
      <c r="A15" s="89" t="s">
        <v>560</v>
      </c>
      <c r="B15" s="99" t="s">
        <v>164</v>
      </c>
      <c r="C15" s="99" t="s">
        <v>730</v>
      </c>
      <c r="D15" s="89" t="s">
        <v>567</v>
      </c>
      <c r="E15" s="98">
        <v>200</v>
      </c>
      <c r="N15" s="128" t="s">
        <v>556</v>
      </c>
      <c r="O15" s="128" t="s">
        <v>162</v>
      </c>
      <c r="P15" s="128" t="s">
        <v>724</v>
      </c>
      <c r="Q15" s="128" t="s">
        <v>571</v>
      </c>
      <c r="R15" s="129">
        <v>154.22</v>
      </c>
      <c r="T15" s="131" t="s">
        <v>558</v>
      </c>
      <c r="U15" s="131" t="s">
        <v>160</v>
      </c>
      <c r="V15" s="131" t="s">
        <v>696</v>
      </c>
      <c r="W15" s="131" t="s">
        <v>614</v>
      </c>
      <c r="X15" s="132">
        <v>1046.393</v>
      </c>
    </row>
    <row r="16" spans="1:24" ht="15.75" customHeight="1">
      <c r="A16" s="89" t="s">
        <v>560</v>
      </c>
      <c r="B16" s="99" t="s">
        <v>164</v>
      </c>
      <c r="C16" s="99" t="s">
        <v>731</v>
      </c>
      <c r="D16" s="89" t="s">
        <v>569</v>
      </c>
      <c r="E16" s="98">
        <v>16.37</v>
      </c>
      <c r="N16" s="128" t="s">
        <v>562</v>
      </c>
      <c r="O16" s="128" t="s">
        <v>166</v>
      </c>
      <c r="P16" s="128" t="s">
        <v>734</v>
      </c>
      <c r="Q16" s="128" t="s">
        <v>572</v>
      </c>
      <c r="R16" s="129">
        <v>170.45</v>
      </c>
      <c r="T16" s="131" t="s">
        <v>558</v>
      </c>
      <c r="U16" s="131" t="s">
        <v>160</v>
      </c>
      <c r="V16" s="131" t="s">
        <v>699</v>
      </c>
      <c r="W16" s="131" t="s">
        <v>615</v>
      </c>
      <c r="X16" s="132">
        <v>924.61900000000003</v>
      </c>
    </row>
    <row r="17" spans="1:24" ht="15.75" customHeight="1">
      <c r="A17" s="89" t="s">
        <v>560</v>
      </c>
      <c r="B17" s="99" t="s">
        <v>164</v>
      </c>
      <c r="C17" s="99" t="s">
        <v>732</v>
      </c>
      <c r="D17" s="89" t="s">
        <v>570</v>
      </c>
      <c r="E17" s="98">
        <v>97.42</v>
      </c>
      <c r="N17" s="128" t="s">
        <v>700</v>
      </c>
      <c r="O17" s="128" t="s">
        <v>577</v>
      </c>
      <c r="P17" s="137" t="s">
        <v>735</v>
      </c>
      <c r="Q17" s="128" t="s">
        <v>575</v>
      </c>
      <c r="R17" s="138">
        <v>138.44999999999999</v>
      </c>
      <c r="T17" s="131" t="s">
        <v>558</v>
      </c>
      <c r="U17" s="131" t="s">
        <v>160</v>
      </c>
      <c r="V17" s="131" t="s">
        <v>703</v>
      </c>
      <c r="W17" s="131" t="s">
        <v>616</v>
      </c>
      <c r="X17" s="132">
        <v>179.48500000000001</v>
      </c>
    </row>
    <row r="18" spans="1:24" ht="15.75" customHeight="1">
      <c r="A18" s="89" t="s">
        <v>560</v>
      </c>
      <c r="B18" s="99" t="s">
        <v>164</v>
      </c>
      <c r="C18" s="99" t="s">
        <v>736</v>
      </c>
      <c r="D18" s="89" t="s">
        <v>578</v>
      </c>
      <c r="E18" s="98">
        <v>55.23</v>
      </c>
      <c r="N18" s="128" t="s">
        <v>695</v>
      </c>
      <c r="O18" s="128" t="s">
        <v>568</v>
      </c>
      <c r="P18" s="128" t="s">
        <v>723</v>
      </c>
      <c r="Q18" s="128" t="s">
        <v>576</v>
      </c>
      <c r="R18" s="129">
        <v>134.66</v>
      </c>
      <c r="T18" s="131" t="s">
        <v>560</v>
      </c>
      <c r="U18" s="131" t="s">
        <v>164</v>
      </c>
      <c r="V18" s="131" t="s">
        <v>694</v>
      </c>
      <c r="W18" s="131" t="s">
        <v>566</v>
      </c>
      <c r="X18" s="133">
        <v>194.85</v>
      </c>
    </row>
    <row r="19" spans="1:24" ht="15.75" customHeight="1">
      <c r="A19" s="99" t="s">
        <v>560</v>
      </c>
      <c r="B19" s="99" t="s">
        <v>164</v>
      </c>
      <c r="C19" s="99" t="s">
        <v>737</v>
      </c>
      <c r="D19" s="89" t="s">
        <v>584</v>
      </c>
      <c r="E19" s="139">
        <v>224.38</v>
      </c>
      <c r="N19" s="94" t="s">
        <v>607</v>
      </c>
      <c r="O19" s="128" t="s">
        <v>182</v>
      </c>
      <c r="P19" s="128" t="s">
        <v>738</v>
      </c>
      <c r="Q19" s="128" t="s">
        <v>600</v>
      </c>
      <c r="R19" s="129">
        <v>212.077</v>
      </c>
      <c r="T19" s="131" t="s">
        <v>560</v>
      </c>
      <c r="U19" s="131" t="s">
        <v>164</v>
      </c>
      <c r="V19" s="131" t="s">
        <v>730</v>
      </c>
      <c r="W19" s="131" t="s">
        <v>567</v>
      </c>
      <c r="X19" s="133">
        <v>200</v>
      </c>
    </row>
    <row r="20" spans="1:24" ht="15.75" customHeight="1">
      <c r="A20" s="89" t="s">
        <v>560</v>
      </c>
      <c r="B20" s="99" t="s">
        <v>164</v>
      </c>
      <c r="C20" s="99" t="s">
        <v>739</v>
      </c>
      <c r="D20" s="89" t="s">
        <v>585</v>
      </c>
      <c r="E20" s="98">
        <v>41.33</v>
      </c>
      <c r="N20" s="128" t="s">
        <v>560</v>
      </c>
      <c r="O20" s="128" t="s">
        <v>164</v>
      </c>
      <c r="P20" s="128" t="s">
        <v>736</v>
      </c>
      <c r="Q20" s="128" t="s">
        <v>578</v>
      </c>
      <c r="R20" s="129">
        <v>55.23</v>
      </c>
      <c r="T20" s="131" t="s">
        <v>560</v>
      </c>
      <c r="U20" s="131" t="s">
        <v>164</v>
      </c>
      <c r="V20" s="131" t="s">
        <v>731</v>
      </c>
      <c r="W20" s="131" t="s">
        <v>569</v>
      </c>
      <c r="X20" s="133">
        <v>16.37</v>
      </c>
    </row>
    <row r="21" spans="1:24" ht="15.75" customHeight="1">
      <c r="A21" s="89" t="s">
        <v>560</v>
      </c>
      <c r="B21" s="99" t="s">
        <v>164</v>
      </c>
      <c r="C21" s="99" t="s">
        <v>694</v>
      </c>
      <c r="D21" s="89" t="s">
        <v>566</v>
      </c>
      <c r="E21" s="98">
        <v>194.85</v>
      </c>
      <c r="N21" s="128" t="s">
        <v>564</v>
      </c>
      <c r="O21" s="128" t="s">
        <v>168</v>
      </c>
      <c r="P21" s="128" t="s">
        <v>740</v>
      </c>
      <c r="Q21" s="128" t="s">
        <v>580</v>
      </c>
      <c r="R21" s="129">
        <v>71.72</v>
      </c>
      <c r="T21" s="131" t="s">
        <v>560</v>
      </c>
      <c r="U21" s="131" t="s">
        <v>164</v>
      </c>
      <c r="V21" s="131" t="s">
        <v>732</v>
      </c>
      <c r="W21" s="131" t="s">
        <v>570</v>
      </c>
      <c r="X21" s="133">
        <v>97.42</v>
      </c>
    </row>
    <row r="22" spans="1:24" ht="15.75" customHeight="1">
      <c r="A22" s="89" t="s">
        <v>560</v>
      </c>
      <c r="B22" s="99" t="s">
        <v>164</v>
      </c>
      <c r="C22" s="99" t="s">
        <v>700</v>
      </c>
      <c r="D22" s="89" t="s">
        <v>577</v>
      </c>
      <c r="E22" s="98">
        <v>375.38</v>
      </c>
      <c r="N22" s="94" t="s">
        <v>595</v>
      </c>
      <c r="O22" s="128" t="s">
        <v>170</v>
      </c>
      <c r="P22" s="128" t="s">
        <v>709</v>
      </c>
      <c r="Q22" s="128" t="s">
        <v>602</v>
      </c>
      <c r="R22" s="129">
        <v>161.958</v>
      </c>
      <c r="T22" s="131" t="s">
        <v>560</v>
      </c>
      <c r="U22" s="131" t="s">
        <v>164</v>
      </c>
      <c r="V22" s="131" t="s">
        <v>700</v>
      </c>
      <c r="W22" s="131" t="s">
        <v>577</v>
      </c>
      <c r="X22" s="133">
        <v>375.38</v>
      </c>
    </row>
    <row r="23" spans="1:24" ht="15.75" customHeight="1">
      <c r="A23" s="89" t="s">
        <v>560</v>
      </c>
      <c r="B23" s="99" t="s">
        <v>164</v>
      </c>
      <c r="C23" s="99" t="s">
        <v>701</v>
      </c>
      <c r="D23" s="99" t="s">
        <v>579</v>
      </c>
      <c r="E23" s="98">
        <v>162.63999999999999</v>
      </c>
      <c r="N23" s="128" t="s">
        <v>701</v>
      </c>
      <c r="O23" s="128" t="s">
        <v>579</v>
      </c>
      <c r="P23" s="128" t="s">
        <v>741</v>
      </c>
      <c r="Q23" s="128" t="s">
        <v>581</v>
      </c>
      <c r="R23" s="129">
        <v>103.54</v>
      </c>
      <c r="T23" s="131" t="s">
        <v>560</v>
      </c>
      <c r="U23" s="131" t="s">
        <v>164</v>
      </c>
      <c r="V23" s="131" t="s">
        <v>736</v>
      </c>
      <c r="W23" s="131" t="s">
        <v>578</v>
      </c>
      <c r="X23" s="133">
        <v>55.23</v>
      </c>
    </row>
    <row r="24" spans="1:24" ht="15.75" customHeight="1">
      <c r="A24" s="89" t="s">
        <v>562</v>
      </c>
      <c r="B24" s="99" t="s">
        <v>166</v>
      </c>
      <c r="C24" s="99" t="s">
        <v>719</v>
      </c>
      <c r="D24" s="89" t="s">
        <v>557</v>
      </c>
      <c r="E24" s="90">
        <v>55.4</v>
      </c>
      <c r="N24" s="94" t="s">
        <v>598</v>
      </c>
      <c r="O24" s="128" t="s">
        <v>172</v>
      </c>
      <c r="P24" s="128" t="s">
        <v>720</v>
      </c>
      <c r="Q24" s="128" t="s">
        <v>604</v>
      </c>
      <c r="R24" s="129">
        <v>94.263999999999996</v>
      </c>
      <c r="T24" s="131" t="s">
        <v>560</v>
      </c>
      <c r="U24" s="131" t="s">
        <v>164</v>
      </c>
      <c r="V24" s="131" t="s">
        <v>739</v>
      </c>
      <c r="W24" s="131" t="s">
        <v>585</v>
      </c>
      <c r="X24" s="133">
        <v>41.33</v>
      </c>
    </row>
    <row r="25" spans="1:24" ht="15.75" customHeight="1">
      <c r="A25" s="89" t="s">
        <v>562</v>
      </c>
      <c r="B25" s="99" t="s">
        <v>166</v>
      </c>
      <c r="C25" s="99" t="s">
        <v>727</v>
      </c>
      <c r="D25" s="99" t="s">
        <v>565</v>
      </c>
      <c r="E25" s="140">
        <v>47.8</v>
      </c>
      <c r="N25" s="128" t="s">
        <v>701</v>
      </c>
      <c r="O25" s="128" t="s">
        <v>579</v>
      </c>
      <c r="P25" s="128" t="s">
        <v>742</v>
      </c>
      <c r="Q25" s="128" t="s">
        <v>583</v>
      </c>
      <c r="R25" s="129">
        <v>80.400000000000006</v>
      </c>
      <c r="T25" s="131" t="s">
        <v>560</v>
      </c>
      <c r="U25" s="131" t="s">
        <v>164</v>
      </c>
      <c r="V25" s="131" t="s">
        <v>737</v>
      </c>
      <c r="W25" s="131" t="s">
        <v>584</v>
      </c>
      <c r="X25" s="141">
        <v>224.38</v>
      </c>
    </row>
    <row r="26" spans="1:24" ht="15.75" customHeight="1">
      <c r="A26" s="89" t="s">
        <v>562</v>
      </c>
      <c r="B26" s="99" t="s">
        <v>166</v>
      </c>
      <c r="C26" s="99" t="s">
        <v>734</v>
      </c>
      <c r="D26" s="89" t="s">
        <v>572</v>
      </c>
      <c r="E26" s="98">
        <v>170.45</v>
      </c>
      <c r="N26" s="94" t="s">
        <v>605</v>
      </c>
      <c r="O26" s="136" t="s">
        <v>179</v>
      </c>
      <c r="P26" s="128" t="s">
        <v>743</v>
      </c>
      <c r="Q26" s="128" t="s">
        <v>611</v>
      </c>
      <c r="R26" s="129">
        <v>151</v>
      </c>
      <c r="T26" s="131" t="s">
        <v>562</v>
      </c>
      <c r="U26" s="131" t="s">
        <v>166</v>
      </c>
      <c r="V26" s="131" t="s">
        <v>719</v>
      </c>
      <c r="W26" s="131" t="s">
        <v>557</v>
      </c>
      <c r="X26" s="133">
        <v>55.4</v>
      </c>
    </row>
    <row r="27" spans="1:24" ht="15.75" customHeight="1">
      <c r="A27" s="89" t="s">
        <v>562</v>
      </c>
      <c r="B27" s="99" t="s">
        <v>166</v>
      </c>
      <c r="C27" s="99" t="s">
        <v>744</v>
      </c>
      <c r="D27" s="89" t="s">
        <v>586</v>
      </c>
      <c r="E27" s="98">
        <v>35.19</v>
      </c>
      <c r="N27" s="128" t="s">
        <v>560</v>
      </c>
      <c r="O27" s="128" t="s">
        <v>164</v>
      </c>
      <c r="P27" s="128" t="s">
        <v>737</v>
      </c>
      <c r="Q27" s="128" t="s">
        <v>584</v>
      </c>
      <c r="R27" s="138">
        <v>224.38</v>
      </c>
      <c r="T27" s="131" t="s">
        <v>562</v>
      </c>
      <c r="U27" s="131" t="s">
        <v>166</v>
      </c>
      <c r="V27" s="131" t="s">
        <v>734</v>
      </c>
      <c r="W27" s="131" t="s">
        <v>572</v>
      </c>
      <c r="X27" s="133">
        <v>170.45</v>
      </c>
    </row>
    <row r="28" spans="1:24" ht="15.75" customHeight="1">
      <c r="A28" s="89" t="s">
        <v>562</v>
      </c>
      <c r="B28" s="99" t="s">
        <v>166</v>
      </c>
      <c r="C28" s="99" t="s">
        <v>695</v>
      </c>
      <c r="D28" s="89" t="s">
        <v>568</v>
      </c>
      <c r="E28" s="90">
        <v>396.91</v>
      </c>
      <c r="N28" s="94" t="s">
        <v>605</v>
      </c>
      <c r="O28" s="136" t="s">
        <v>179</v>
      </c>
      <c r="P28" s="137" t="s">
        <v>745</v>
      </c>
      <c r="Q28" s="136" t="s">
        <v>608</v>
      </c>
      <c r="R28" s="135">
        <v>321</v>
      </c>
      <c r="T28" s="131" t="s">
        <v>562</v>
      </c>
      <c r="U28" s="131" t="s">
        <v>166</v>
      </c>
      <c r="V28" s="131" t="s">
        <v>744</v>
      </c>
      <c r="W28" s="131" t="s">
        <v>586</v>
      </c>
      <c r="X28" s="133">
        <v>35.19</v>
      </c>
    </row>
    <row r="29" spans="1:24" ht="15.75" customHeight="1">
      <c r="A29" s="99" t="s">
        <v>603</v>
      </c>
      <c r="B29" s="89" t="s">
        <v>177</v>
      </c>
      <c r="C29" s="99" t="s">
        <v>716</v>
      </c>
      <c r="D29" s="89" t="s">
        <v>717</v>
      </c>
      <c r="E29" s="90">
        <v>343.09199999999998</v>
      </c>
      <c r="N29" s="128" t="s">
        <v>560</v>
      </c>
      <c r="O29" s="128" t="s">
        <v>164</v>
      </c>
      <c r="P29" s="128" t="s">
        <v>739</v>
      </c>
      <c r="Q29" s="128" t="s">
        <v>585</v>
      </c>
      <c r="R29" s="129">
        <v>41.33</v>
      </c>
      <c r="T29" s="131" t="s">
        <v>562</v>
      </c>
      <c r="U29" s="131" t="s">
        <v>166</v>
      </c>
      <c r="V29" s="131" t="s">
        <v>727</v>
      </c>
      <c r="W29" s="131" t="s">
        <v>565</v>
      </c>
      <c r="X29" s="142">
        <v>47.8</v>
      </c>
    </row>
    <row r="30" spans="1:24" ht="15.75" customHeight="1">
      <c r="A30" s="99" t="s">
        <v>700</v>
      </c>
      <c r="B30" s="89" t="s">
        <v>577</v>
      </c>
      <c r="C30" s="99" t="s">
        <v>725</v>
      </c>
      <c r="D30" s="89" t="s">
        <v>563</v>
      </c>
      <c r="E30" s="98">
        <v>49.98</v>
      </c>
      <c r="N30" s="128" t="s">
        <v>562</v>
      </c>
      <c r="O30" s="128" t="s">
        <v>166</v>
      </c>
      <c r="P30" s="128" t="s">
        <v>744</v>
      </c>
      <c r="Q30" s="128" t="s">
        <v>586</v>
      </c>
      <c r="R30" s="129">
        <v>35.19</v>
      </c>
      <c r="T30" s="131" t="s">
        <v>603</v>
      </c>
      <c r="U30" s="131" t="s">
        <v>177</v>
      </c>
      <c r="V30" s="131" t="s">
        <v>716</v>
      </c>
      <c r="W30" s="131" t="s">
        <v>717</v>
      </c>
      <c r="X30" s="132">
        <v>343.09199999999998</v>
      </c>
    </row>
    <row r="31" spans="1:24" ht="15.75" customHeight="1">
      <c r="A31" s="99" t="s">
        <v>700</v>
      </c>
      <c r="B31" s="89" t="s">
        <v>577</v>
      </c>
      <c r="C31" s="143" t="s">
        <v>735</v>
      </c>
      <c r="D31" s="99" t="s">
        <v>575</v>
      </c>
      <c r="E31" s="139">
        <v>138.44999999999999</v>
      </c>
      <c r="N31" s="128" t="s">
        <v>700</v>
      </c>
      <c r="O31" s="128" t="s">
        <v>577</v>
      </c>
      <c r="P31" s="128" t="s">
        <v>746</v>
      </c>
      <c r="Q31" s="128" t="s">
        <v>587</v>
      </c>
      <c r="R31" s="129">
        <v>72.180000000000007</v>
      </c>
      <c r="T31" s="131" t="s">
        <v>700</v>
      </c>
      <c r="U31" s="131" t="s">
        <v>577</v>
      </c>
      <c r="V31" s="131" t="s">
        <v>725</v>
      </c>
      <c r="W31" s="131" t="s">
        <v>563</v>
      </c>
      <c r="X31" s="133">
        <v>49.98</v>
      </c>
    </row>
    <row r="32" spans="1:24" ht="15.75" customHeight="1">
      <c r="A32" s="99" t="s">
        <v>700</v>
      </c>
      <c r="B32" s="89" t="s">
        <v>577</v>
      </c>
      <c r="C32" s="99" t="s">
        <v>746</v>
      </c>
      <c r="D32" s="89" t="s">
        <v>587</v>
      </c>
      <c r="E32" s="98">
        <v>72.180000000000007</v>
      </c>
      <c r="G32" s="144"/>
      <c r="H32" s="89" t="s">
        <v>728</v>
      </c>
      <c r="I32" s="89" t="s">
        <v>729</v>
      </c>
      <c r="J32" s="89" t="s">
        <v>551</v>
      </c>
      <c r="K32" s="89" t="s">
        <v>158</v>
      </c>
      <c r="L32" s="90">
        <v>1044.4659999999999</v>
      </c>
      <c r="N32" s="128" t="s">
        <v>556</v>
      </c>
      <c r="O32" s="128" t="s">
        <v>162</v>
      </c>
      <c r="P32" s="128" t="s">
        <v>726</v>
      </c>
      <c r="Q32" s="128" t="s">
        <v>588</v>
      </c>
      <c r="R32" s="129">
        <v>13.78</v>
      </c>
      <c r="T32" s="131" t="s">
        <v>700</v>
      </c>
      <c r="U32" s="131" t="s">
        <v>577</v>
      </c>
      <c r="V32" s="131" t="s">
        <v>746</v>
      </c>
      <c r="W32" s="131" t="s">
        <v>587</v>
      </c>
      <c r="X32" s="133">
        <v>72.180000000000007</v>
      </c>
    </row>
    <row r="33" spans="1:24" ht="15.75" customHeight="1">
      <c r="A33" s="89" t="s">
        <v>564</v>
      </c>
      <c r="B33" s="99" t="s">
        <v>168</v>
      </c>
      <c r="C33" s="99" t="s">
        <v>740</v>
      </c>
      <c r="D33" s="89" t="s">
        <v>580</v>
      </c>
      <c r="E33" s="98">
        <v>71.72</v>
      </c>
      <c r="G33" s="144"/>
      <c r="H33" s="89" t="s">
        <v>728</v>
      </c>
      <c r="I33" s="89" t="s">
        <v>729</v>
      </c>
      <c r="J33" s="89" t="s">
        <v>560</v>
      </c>
      <c r="K33" s="89" t="s">
        <v>160</v>
      </c>
      <c r="L33" s="90">
        <v>1144.6279999999999</v>
      </c>
      <c r="N33" s="128" t="s">
        <v>556</v>
      </c>
      <c r="O33" s="128" t="s">
        <v>162</v>
      </c>
      <c r="P33" s="128" t="s">
        <v>692</v>
      </c>
      <c r="Q33" s="128" t="s">
        <v>561</v>
      </c>
      <c r="R33" s="129">
        <v>275.58</v>
      </c>
      <c r="T33" s="131" t="s">
        <v>700</v>
      </c>
      <c r="U33" s="131" t="s">
        <v>577</v>
      </c>
      <c r="V33" s="131" t="s">
        <v>735</v>
      </c>
      <c r="W33" s="131" t="s">
        <v>575</v>
      </c>
      <c r="X33" s="141">
        <v>138.44999999999999</v>
      </c>
    </row>
    <row r="34" spans="1:24" ht="15.75" customHeight="1">
      <c r="A34" s="89" t="s">
        <v>564</v>
      </c>
      <c r="B34" s="89" t="s">
        <v>168</v>
      </c>
      <c r="C34" s="99" t="s">
        <v>697</v>
      </c>
      <c r="D34" s="89" t="s">
        <v>573</v>
      </c>
      <c r="E34" s="98">
        <v>589.5</v>
      </c>
      <c r="G34" s="144"/>
      <c r="H34" s="144"/>
      <c r="N34" s="128" t="s">
        <v>560</v>
      </c>
      <c r="O34" s="128" t="s">
        <v>164</v>
      </c>
      <c r="P34" s="128" t="s">
        <v>701</v>
      </c>
      <c r="Q34" s="128" t="s">
        <v>579</v>
      </c>
      <c r="R34" s="145">
        <v>162.63999999999999</v>
      </c>
      <c r="T34" s="131" t="s">
        <v>564</v>
      </c>
      <c r="U34" s="131" t="s">
        <v>168</v>
      </c>
      <c r="V34" s="131" t="s">
        <v>697</v>
      </c>
      <c r="W34" s="131" t="s">
        <v>573</v>
      </c>
      <c r="X34" s="133">
        <v>589.5</v>
      </c>
    </row>
    <row r="35" spans="1:24" ht="15.75" customHeight="1">
      <c r="A35" s="89" t="s">
        <v>564</v>
      </c>
      <c r="B35" s="99" t="s">
        <v>168</v>
      </c>
      <c r="C35" s="99" t="s">
        <v>698</v>
      </c>
      <c r="D35" s="89" t="s">
        <v>574</v>
      </c>
      <c r="E35" s="98">
        <v>406.82</v>
      </c>
      <c r="G35" s="144"/>
      <c r="H35" s="144"/>
      <c r="N35" s="128" t="s">
        <v>558</v>
      </c>
      <c r="O35" s="128" t="s">
        <v>160</v>
      </c>
      <c r="P35" s="128" t="s">
        <v>693</v>
      </c>
      <c r="Q35" s="128" t="s">
        <v>613</v>
      </c>
      <c r="R35" s="146">
        <v>440.971</v>
      </c>
      <c r="T35" s="131" t="s">
        <v>564</v>
      </c>
      <c r="U35" s="131" t="s">
        <v>168</v>
      </c>
      <c r="V35" s="131" t="s">
        <v>698</v>
      </c>
      <c r="W35" s="131" t="s">
        <v>574</v>
      </c>
      <c r="X35" s="133">
        <v>406.82</v>
      </c>
    </row>
    <row r="36" spans="1:24" ht="15.75" customHeight="1">
      <c r="A36" s="89" t="s">
        <v>564</v>
      </c>
      <c r="B36" s="99" t="s">
        <v>168</v>
      </c>
      <c r="C36" s="99" t="s">
        <v>702</v>
      </c>
      <c r="D36" s="99" t="s">
        <v>582</v>
      </c>
      <c r="E36" s="98">
        <v>206.67</v>
      </c>
      <c r="G36" s="144"/>
      <c r="H36" s="144"/>
      <c r="N36" s="128" t="s">
        <v>560</v>
      </c>
      <c r="O36" s="128" t="s">
        <v>164</v>
      </c>
      <c r="P36" s="128" t="s">
        <v>694</v>
      </c>
      <c r="Q36" s="128" t="s">
        <v>566</v>
      </c>
      <c r="R36" s="129">
        <v>194.85</v>
      </c>
      <c r="T36" s="131" t="s">
        <v>564</v>
      </c>
      <c r="U36" s="131" t="s">
        <v>168</v>
      </c>
      <c r="V36" s="131" t="s">
        <v>740</v>
      </c>
      <c r="W36" s="131" t="s">
        <v>580</v>
      </c>
      <c r="X36" s="133">
        <v>71.72</v>
      </c>
    </row>
    <row r="37" spans="1:24" ht="14.25" customHeight="1">
      <c r="A37" s="89" t="s">
        <v>701</v>
      </c>
      <c r="B37" s="89" t="s">
        <v>579</v>
      </c>
      <c r="C37" s="99" t="s">
        <v>722</v>
      </c>
      <c r="D37" s="89" t="s">
        <v>559</v>
      </c>
      <c r="E37" s="98">
        <v>62.41</v>
      </c>
      <c r="G37" s="144"/>
      <c r="H37" s="144"/>
      <c r="N37" s="128" t="s">
        <v>562</v>
      </c>
      <c r="O37" s="128" t="s">
        <v>166</v>
      </c>
      <c r="P37" s="128" t="s">
        <v>695</v>
      </c>
      <c r="Q37" s="128" t="s">
        <v>568</v>
      </c>
      <c r="R37" s="147">
        <v>396.91</v>
      </c>
      <c r="T37" s="131" t="s">
        <v>564</v>
      </c>
      <c r="U37" s="131" t="s">
        <v>168</v>
      </c>
      <c r="V37" s="131" t="s">
        <v>702</v>
      </c>
      <c r="W37" s="131" t="s">
        <v>582</v>
      </c>
      <c r="X37" s="133">
        <v>206.67</v>
      </c>
    </row>
    <row r="38" spans="1:24" ht="14.25" customHeight="1">
      <c r="A38" s="89" t="s">
        <v>701</v>
      </c>
      <c r="B38" s="89" t="s">
        <v>579</v>
      </c>
      <c r="C38" s="99" t="s">
        <v>741</v>
      </c>
      <c r="D38" s="89" t="s">
        <v>581</v>
      </c>
      <c r="E38" s="98">
        <v>103.54</v>
      </c>
      <c r="G38" s="144"/>
      <c r="H38" s="144"/>
      <c r="N38" s="128" t="s">
        <v>562</v>
      </c>
      <c r="O38" s="128" t="s">
        <v>166</v>
      </c>
      <c r="P38" s="128" t="s">
        <v>695</v>
      </c>
      <c r="Q38" s="128" t="s">
        <v>568</v>
      </c>
      <c r="R38" s="129">
        <v>396.91</v>
      </c>
      <c r="T38" s="131" t="s">
        <v>701</v>
      </c>
      <c r="U38" s="131" t="s">
        <v>579</v>
      </c>
      <c r="V38" s="131" t="s">
        <v>722</v>
      </c>
      <c r="W38" s="131" t="s">
        <v>559</v>
      </c>
      <c r="X38" s="133">
        <v>62.41</v>
      </c>
    </row>
    <row r="39" spans="1:24" ht="14.25" customHeight="1">
      <c r="A39" s="89" t="s">
        <v>701</v>
      </c>
      <c r="B39" s="89" t="s">
        <v>579</v>
      </c>
      <c r="C39" s="99" t="s">
        <v>742</v>
      </c>
      <c r="D39" s="89" t="s">
        <v>583</v>
      </c>
      <c r="E39" s="98">
        <v>80.400000000000006</v>
      </c>
      <c r="G39" s="144"/>
      <c r="H39" s="144"/>
      <c r="N39" s="128" t="s">
        <v>558</v>
      </c>
      <c r="O39" s="128" t="s">
        <v>160</v>
      </c>
      <c r="P39" s="128" t="s">
        <v>696</v>
      </c>
      <c r="Q39" s="128" t="s">
        <v>614</v>
      </c>
      <c r="R39" s="129">
        <v>1046.393</v>
      </c>
      <c r="T39" s="131" t="s">
        <v>701</v>
      </c>
      <c r="U39" s="131" t="s">
        <v>579</v>
      </c>
      <c r="V39" s="131" t="s">
        <v>741</v>
      </c>
      <c r="W39" s="131" t="s">
        <v>581</v>
      </c>
      <c r="X39" s="133">
        <v>103.54</v>
      </c>
    </row>
    <row r="40" spans="1:24" ht="14.25" customHeight="1">
      <c r="A40" s="94" t="s">
        <v>605</v>
      </c>
      <c r="B40" s="95" t="s">
        <v>179</v>
      </c>
      <c r="C40" s="143" t="s">
        <v>733</v>
      </c>
      <c r="D40" s="95" t="s">
        <v>597</v>
      </c>
      <c r="E40" s="140">
        <v>352.4</v>
      </c>
      <c r="N40" s="128" t="s">
        <v>564</v>
      </c>
      <c r="O40" s="128" t="s">
        <v>168</v>
      </c>
      <c r="P40" s="128" t="s">
        <v>697</v>
      </c>
      <c r="Q40" s="128" t="s">
        <v>573</v>
      </c>
      <c r="R40" s="129">
        <v>589.5</v>
      </c>
      <c r="T40" s="131" t="s">
        <v>701</v>
      </c>
      <c r="U40" s="131" t="s">
        <v>579</v>
      </c>
      <c r="V40" s="131" t="s">
        <v>742</v>
      </c>
      <c r="W40" s="131" t="s">
        <v>583</v>
      </c>
      <c r="X40" s="133">
        <v>80.400000000000006</v>
      </c>
    </row>
    <row r="41" spans="1:24" ht="14.25" customHeight="1">
      <c r="A41" s="94" t="s">
        <v>605</v>
      </c>
      <c r="B41" s="95" t="s">
        <v>179</v>
      </c>
      <c r="C41" s="99" t="s">
        <v>743</v>
      </c>
      <c r="D41" s="89" t="s">
        <v>611</v>
      </c>
      <c r="E41" s="90">
        <v>151</v>
      </c>
      <c r="N41" s="128" t="s">
        <v>564</v>
      </c>
      <c r="O41" s="128" t="s">
        <v>168</v>
      </c>
      <c r="P41" s="128" t="s">
        <v>698</v>
      </c>
      <c r="Q41" s="128" t="s">
        <v>574</v>
      </c>
      <c r="R41" s="129">
        <v>406.82</v>
      </c>
      <c r="T41" s="130" t="s">
        <v>605</v>
      </c>
      <c r="U41" s="148" t="s">
        <v>179</v>
      </c>
      <c r="V41" s="131" t="s">
        <v>743</v>
      </c>
      <c r="W41" s="131" t="s">
        <v>611</v>
      </c>
      <c r="X41" s="132">
        <v>151</v>
      </c>
    </row>
    <row r="42" spans="1:24" ht="14.25" customHeight="1">
      <c r="A42" s="94" t="s">
        <v>605</v>
      </c>
      <c r="B42" s="97" t="s">
        <v>179</v>
      </c>
      <c r="C42" s="143" t="s">
        <v>745</v>
      </c>
      <c r="D42" s="97" t="s">
        <v>608</v>
      </c>
      <c r="E42" s="140">
        <v>321</v>
      </c>
      <c r="N42" s="128" t="s">
        <v>558</v>
      </c>
      <c r="O42" s="128" t="s">
        <v>160</v>
      </c>
      <c r="P42" s="128" t="s">
        <v>699</v>
      </c>
      <c r="Q42" s="128" t="s">
        <v>615</v>
      </c>
      <c r="R42" s="129">
        <v>924.61900000000003</v>
      </c>
      <c r="T42" s="130" t="s">
        <v>605</v>
      </c>
      <c r="U42" s="148" t="s">
        <v>179</v>
      </c>
      <c r="V42" s="142" t="s">
        <v>733</v>
      </c>
      <c r="W42" s="148" t="s">
        <v>597</v>
      </c>
      <c r="X42" s="142">
        <v>352.4</v>
      </c>
    </row>
    <row r="43" spans="1:24" ht="14.25" customHeight="1">
      <c r="A43" s="94" t="s">
        <v>607</v>
      </c>
      <c r="B43" s="89" t="s">
        <v>182</v>
      </c>
      <c r="C43" s="99" t="s">
        <v>738</v>
      </c>
      <c r="D43" s="89" t="s">
        <v>600</v>
      </c>
      <c r="E43" s="90">
        <v>212.077</v>
      </c>
      <c r="N43" s="128" t="s">
        <v>560</v>
      </c>
      <c r="O43" s="128" t="s">
        <v>164</v>
      </c>
      <c r="P43" s="128" t="s">
        <v>700</v>
      </c>
      <c r="Q43" s="128" t="s">
        <v>577</v>
      </c>
      <c r="R43" s="129">
        <v>375.38</v>
      </c>
      <c r="T43" s="130" t="s">
        <v>605</v>
      </c>
      <c r="U43" s="148" t="s">
        <v>179</v>
      </c>
      <c r="V43" s="142" t="s">
        <v>745</v>
      </c>
      <c r="W43" s="148" t="s">
        <v>608</v>
      </c>
      <c r="X43" s="142">
        <v>321</v>
      </c>
    </row>
    <row r="44" spans="1:24" ht="14.25" customHeight="1">
      <c r="N44" s="128" t="s">
        <v>560</v>
      </c>
      <c r="O44" s="128" t="s">
        <v>164</v>
      </c>
      <c r="P44" s="128" t="s">
        <v>701</v>
      </c>
      <c r="Q44" s="128" t="s">
        <v>579</v>
      </c>
      <c r="R44" s="129">
        <v>162.63999999999999</v>
      </c>
      <c r="T44" s="130" t="s">
        <v>607</v>
      </c>
      <c r="U44" s="131" t="s">
        <v>182</v>
      </c>
      <c r="V44" s="131" t="s">
        <v>738</v>
      </c>
      <c r="W44" s="131" t="s">
        <v>600</v>
      </c>
      <c r="X44" s="132">
        <v>212.077</v>
      </c>
    </row>
    <row r="45" spans="1:24" ht="14.25" customHeight="1">
      <c r="N45" s="128" t="s">
        <v>564</v>
      </c>
      <c r="O45" s="128" t="s">
        <v>168</v>
      </c>
      <c r="P45" s="128" t="s">
        <v>702</v>
      </c>
      <c r="Q45" s="128" t="s">
        <v>582</v>
      </c>
      <c r="R45" s="129">
        <v>206.67</v>
      </c>
      <c r="T45" s="131" t="s">
        <v>562</v>
      </c>
      <c r="U45" s="131" t="s">
        <v>166</v>
      </c>
      <c r="V45" s="131" t="s">
        <v>695</v>
      </c>
      <c r="W45" s="131" t="s">
        <v>568</v>
      </c>
      <c r="X45" s="132">
        <v>396.91</v>
      </c>
    </row>
    <row r="46" spans="1:24" ht="14.25" customHeight="1">
      <c r="N46" s="128" t="s">
        <v>558</v>
      </c>
      <c r="O46" s="128" t="s">
        <v>160</v>
      </c>
      <c r="P46" s="128" t="s">
        <v>703</v>
      </c>
      <c r="Q46" s="128" t="s">
        <v>616</v>
      </c>
      <c r="R46" s="129">
        <v>179.48500000000001</v>
      </c>
      <c r="T46" s="131" t="s">
        <v>560</v>
      </c>
      <c r="U46" s="131" t="s">
        <v>164</v>
      </c>
      <c r="V46" s="131" t="s">
        <v>701</v>
      </c>
      <c r="W46" s="131" t="s">
        <v>579</v>
      </c>
      <c r="X46" s="133">
        <v>162.63999999999999</v>
      </c>
    </row>
    <row r="47" spans="1:24" ht="14.25" customHeight="1">
      <c r="A47" s="149"/>
      <c r="B47" s="149"/>
      <c r="C47" s="150"/>
      <c r="D47" s="150"/>
      <c r="E47" s="151"/>
      <c r="F47" s="150"/>
    </row>
    <row r="48" spans="1:24" ht="14.25" customHeight="1">
      <c r="A48" s="149"/>
      <c r="B48" s="149"/>
      <c r="C48" s="150"/>
      <c r="D48" s="150"/>
      <c r="E48" s="151"/>
      <c r="F48" s="150"/>
    </row>
    <row r="49" spans="1:6" ht="14.25" customHeight="1">
      <c r="A49" s="149"/>
      <c r="B49" s="149"/>
      <c r="C49" s="150"/>
      <c r="D49" s="150"/>
      <c r="E49" s="151"/>
      <c r="F49" s="150"/>
    </row>
    <row r="50" spans="1:6" ht="14.25" customHeight="1">
      <c r="A50" s="149"/>
      <c r="B50" s="149"/>
      <c r="C50" s="150"/>
      <c r="D50" s="151"/>
      <c r="E50" s="150"/>
      <c r="F50" s="151"/>
    </row>
    <row r="51" spans="1:6" ht="14.25" customHeight="1">
      <c r="A51" s="149"/>
      <c r="B51" s="149"/>
      <c r="C51" s="150"/>
      <c r="D51" s="150"/>
      <c r="E51" s="151"/>
      <c r="F51" s="150"/>
    </row>
    <row r="52" spans="1:6" ht="14.25" customHeight="1">
      <c r="A52" s="149"/>
      <c r="B52" s="149"/>
      <c r="C52" s="150"/>
      <c r="D52" s="150"/>
      <c r="E52" s="151"/>
      <c r="F52" s="152"/>
    </row>
    <row r="53" spans="1:6" ht="14.25" customHeight="1">
      <c r="A53" s="153"/>
      <c r="B53" s="149"/>
      <c r="C53" s="150"/>
      <c r="D53" s="151"/>
      <c r="E53" s="151"/>
      <c r="F53" s="150"/>
    </row>
  </sheetData>
  <dataValidations count="1">
    <dataValidation type="custom" allowBlank="1" showDropDown="1" sqref="E2:E43 R3:R46" xr:uid="{00000000-0002-0000-0F00-000000000000}">
      <formula1>AND(ISNUMBER(E2),(NOT(OR(NOT(ISERROR(DATEVALUE(E2))), AND(ISNUMBER(E2), LEFT(CELL("format", E2))="D")))))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V1000"/>
  <sheetViews>
    <sheetView zoomScaleNormal="100" workbookViewId="0"/>
  </sheetViews>
  <sheetFormatPr defaultColWidth="12.6328125" defaultRowHeight="12.5"/>
  <sheetData>
    <row r="1" spans="1:22" ht="15.75" customHeight="1">
      <c r="A1" s="117" t="s">
        <v>747</v>
      </c>
      <c r="B1" s="154" t="s">
        <v>154</v>
      </c>
      <c r="C1" s="154" t="s">
        <v>625</v>
      </c>
      <c r="D1" s="154" t="s">
        <v>545</v>
      </c>
      <c r="E1" s="117"/>
      <c r="F1" s="120" t="s">
        <v>704</v>
      </c>
      <c r="G1" s="121" t="s">
        <v>705</v>
      </c>
      <c r="H1" s="121" t="s">
        <v>706</v>
      </c>
      <c r="I1" s="121" t="s">
        <v>707</v>
      </c>
      <c r="J1" s="122" t="s">
        <v>708</v>
      </c>
      <c r="L1" s="124" t="s">
        <v>704</v>
      </c>
      <c r="M1" s="125" t="s">
        <v>705</v>
      </c>
      <c r="N1" s="125" t="s">
        <v>706</v>
      </c>
      <c r="O1" s="125" t="s">
        <v>707</v>
      </c>
      <c r="P1" s="126" t="s">
        <v>708</v>
      </c>
      <c r="R1" s="127" t="s">
        <v>704</v>
      </c>
      <c r="S1" s="127" t="s">
        <v>711</v>
      </c>
      <c r="T1" s="127" t="s">
        <v>712</v>
      </c>
      <c r="U1" s="127" t="s">
        <v>705</v>
      </c>
      <c r="V1" s="127" t="s">
        <v>713</v>
      </c>
    </row>
    <row r="2" spans="1:22" ht="15.75" customHeight="1">
      <c r="A2" s="50">
        <f>ROUNDUP(4623,0)</f>
        <v>4623</v>
      </c>
      <c r="B2" s="155" t="s">
        <v>717</v>
      </c>
      <c r="C2" s="155" t="s">
        <v>716</v>
      </c>
      <c r="D2" s="155" t="s">
        <v>679</v>
      </c>
      <c r="F2" s="99" t="s">
        <v>603</v>
      </c>
      <c r="G2" s="89" t="s">
        <v>177</v>
      </c>
      <c r="H2" s="99" t="s">
        <v>716</v>
      </c>
      <c r="I2" s="89" t="s">
        <v>717</v>
      </c>
      <c r="J2" s="90">
        <v>343.09199999999998</v>
      </c>
      <c r="L2" s="128" t="s">
        <v>603</v>
      </c>
      <c r="M2" s="128" t="s">
        <v>177</v>
      </c>
      <c r="N2" s="128" t="s">
        <v>716</v>
      </c>
      <c r="O2" s="128" t="s">
        <v>717</v>
      </c>
      <c r="P2" s="129">
        <v>343.09199999999998</v>
      </c>
      <c r="R2" s="130" t="s">
        <v>595</v>
      </c>
      <c r="S2" s="131" t="s">
        <v>170</v>
      </c>
      <c r="T2" s="131" t="s">
        <v>709</v>
      </c>
      <c r="U2" s="131" t="s">
        <v>602</v>
      </c>
      <c r="V2" s="132">
        <v>161.958</v>
      </c>
    </row>
    <row r="3" spans="1:22" ht="15.75" customHeight="1">
      <c r="A3" s="50">
        <f>ROUNDUP(1729,0)</f>
        <v>1729</v>
      </c>
      <c r="B3" s="155" t="s">
        <v>557</v>
      </c>
      <c r="C3" s="155" t="s">
        <v>719</v>
      </c>
      <c r="D3" s="155" t="s">
        <v>679</v>
      </c>
      <c r="F3" s="89" t="s">
        <v>562</v>
      </c>
      <c r="G3" s="99" t="s">
        <v>166</v>
      </c>
      <c r="H3" s="99" t="s">
        <v>719</v>
      </c>
      <c r="I3" s="89" t="s">
        <v>557</v>
      </c>
      <c r="J3" s="90">
        <v>55.4</v>
      </c>
      <c r="L3" s="128" t="s">
        <v>562</v>
      </c>
      <c r="M3" s="128" t="s">
        <v>166</v>
      </c>
      <c r="N3" s="128" t="s">
        <v>719</v>
      </c>
      <c r="O3" s="128" t="s">
        <v>557</v>
      </c>
      <c r="P3" s="129">
        <v>55.4</v>
      </c>
      <c r="R3" s="130" t="s">
        <v>598</v>
      </c>
      <c r="S3" s="131" t="s">
        <v>172</v>
      </c>
      <c r="T3" s="131" t="s">
        <v>714</v>
      </c>
      <c r="U3" s="131" t="s">
        <v>592</v>
      </c>
      <c r="V3" s="132">
        <v>144.846</v>
      </c>
    </row>
    <row r="4" spans="1:22" ht="15.75" customHeight="1">
      <c r="A4" s="50">
        <v>12496</v>
      </c>
      <c r="B4" s="155" t="s">
        <v>592</v>
      </c>
      <c r="C4" s="155" t="s">
        <v>714</v>
      </c>
      <c r="D4" s="155" t="s">
        <v>679</v>
      </c>
      <c r="F4" s="94" t="s">
        <v>598</v>
      </c>
      <c r="G4" s="89" t="s">
        <v>172</v>
      </c>
      <c r="H4" s="99" t="s">
        <v>714</v>
      </c>
      <c r="I4" s="89" t="s">
        <v>592</v>
      </c>
      <c r="J4" s="90">
        <v>144.846</v>
      </c>
      <c r="L4" s="94" t="s">
        <v>598</v>
      </c>
      <c r="M4" s="128" t="s">
        <v>172</v>
      </c>
      <c r="N4" s="128" t="s">
        <v>714</v>
      </c>
      <c r="O4" s="128" t="s">
        <v>592</v>
      </c>
      <c r="P4" s="129">
        <v>144.846</v>
      </c>
      <c r="R4" s="130" t="s">
        <v>598</v>
      </c>
      <c r="S4" s="131" t="s">
        <v>172</v>
      </c>
      <c r="T4" s="131" t="s">
        <v>718</v>
      </c>
      <c r="U4" s="131" t="s">
        <v>593</v>
      </c>
      <c r="V4" s="132">
        <v>203.11099999999999</v>
      </c>
    </row>
    <row r="5" spans="1:22" ht="15.75" customHeight="1">
      <c r="A5" s="56">
        <v>967</v>
      </c>
      <c r="B5" s="155" t="s">
        <v>559</v>
      </c>
      <c r="C5" s="155" t="s">
        <v>722</v>
      </c>
      <c r="D5" s="155" t="s">
        <v>679</v>
      </c>
      <c r="F5" s="89" t="s">
        <v>701</v>
      </c>
      <c r="G5" s="89" t="s">
        <v>579</v>
      </c>
      <c r="H5" s="99" t="s">
        <v>722</v>
      </c>
      <c r="I5" s="89" t="s">
        <v>559</v>
      </c>
      <c r="J5" s="98">
        <v>62.41</v>
      </c>
      <c r="L5" s="128" t="s">
        <v>701</v>
      </c>
      <c r="M5" s="128" t="s">
        <v>579</v>
      </c>
      <c r="N5" s="128" t="s">
        <v>722</v>
      </c>
      <c r="O5" s="128" t="s">
        <v>559</v>
      </c>
      <c r="P5" s="129">
        <v>62.41</v>
      </c>
      <c r="R5" s="130" t="s">
        <v>598</v>
      </c>
      <c r="S5" s="131" t="s">
        <v>172</v>
      </c>
      <c r="T5" s="131" t="s">
        <v>720</v>
      </c>
      <c r="U5" s="131" t="s">
        <v>604</v>
      </c>
      <c r="V5" s="132">
        <v>94.263999999999996</v>
      </c>
    </row>
    <row r="6" spans="1:22" ht="15.75" customHeight="1">
      <c r="A6" s="50">
        <v>7766</v>
      </c>
      <c r="B6" s="155" t="s">
        <v>593</v>
      </c>
      <c r="C6" s="155" t="s">
        <v>718</v>
      </c>
      <c r="D6" s="155" t="s">
        <v>679</v>
      </c>
      <c r="F6" s="94" t="s">
        <v>598</v>
      </c>
      <c r="G6" s="89" t="s">
        <v>172</v>
      </c>
      <c r="H6" s="99" t="s">
        <v>718</v>
      </c>
      <c r="I6" s="89" t="s">
        <v>593</v>
      </c>
      <c r="J6" s="90">
        <v>203.11099999999999</v>
      </c>
      <c r="L6" s="94" t="s">
        <v>598</v>
      </c>
      <c r="M6" s="128" t="s">
        <v>172</v>
      </c>
      <c r="N6" s="128" t="s">
        <v>718</v>
      </c>
      <c r="O6" s="128" t="s">
        <v>593</v>
      </c>
      <c r="P6" s="129">
        <v>203.11099999999999</v>
      </c>
      <c r="R6" s="130" t="s">
        <v>601</v>
      </c>
      <c r="S6" s="131" t="s">
        <v>175</v>
      </c>
      <c r="T6" s="131" t="s">
        <v>721</v>
      </c>
      <c r="U6" s="131" t="s">
        <v>594</v>
      </c>
      <c r="V6" s="133">
        <v>59.2</v>
      </c>
    </row>
    <row r="7" spans="1:22" ht="15.75" customHeight="1">
      <c r="A7" s="50">
        <v>1924</v>
      </c>
      <c r="B7" s="155" t="s">
        <v>563</v>
      </c>
      <c r="C7" s="155" t="s">
        <v>725</v>
      </c>
      <c r="D7" s="155" t="s">
        <v>679</v>
      </c>
      <c r="F7" s="99" t="s">
        <v>700</v>
      </c>
      <c r="G7" s="89" t="s">
        <v>577</v>
      </c>
      <c r="H7" s="99" t="s">
        <v>725</v>
      </c>
      <c r="I7" s="89" t="s">
        <v>563</v>
      </c>
      <c r="J7" s="98">
        <v>49.98</v>
      </c>
      <c r="L7" s="128" t="s">
        <v>700</v>
      </c>
      <c r="M7" s="128" t="s">
        <v>577</v>
      </c>
      <c r="N7" s="128" t="s">
        <v>725</v>
      </c>
      <c r="O7" s="128" t="s">
        <v>563</v>
      </c>
      <c r="P7" s="129">
        <v>49.98</v>
      </c>
      <c r="R7" s="131" t="s">
        <v>558</v>
      </c>
      <c r="S7" s="131" t="s">
        <v>160</v>
      </c>
      <c r="T7" s="131" t="s">
        <v>693</v>
      </c>
      <c r="U7" s="131" t="s">
        <v>613</v>
      </c>
      <c r="V7" s="134">
        <v>440.971</v>
      </c>
    </row>
    <row r="8" spans="1:22" ht="15.75" customHeight="1">
      <c r="A8" s="50">
        <v>2269</v>
      </c>
      <c r="B8" s="155" t="s">
        <v>565</v>
      </c>
      <c r="C8" s="155" t="s">
        <v>727</v>
      </c>
      <c r="D8" s="155" t="s">
        <v>679</v>
      </c>
      <c r="F8" s="89" t="s">
        <v>562</v>
      </c>
      <c r="G8" s="99" t="s">
        <v>166</v>
      </c>
      <c r="H8" s="99" t="s">
        <v>727</v>
      </c>
      <c r="I8" s="99" t="s">
        <v>565</v>
      </c>
      <c r="J8" s="140">
        <v>47.8</v>
      </c>
      <c r="L8" s="128" t="s">
        <v>562</v>
      </c>
      <c r="M8" s="128" t="s">
        <v>166</v>
      </c>
      <c r="N8" s="128" t="s">
        <v>727</v>
      </c>
      <c r="O8" s="128" t="s">
        <v>565</v>
      </c>
      <c r="P8" s="135">
        <v>47.8</v>
      </c>
      <c r="R8" s="131" t="s">
        <v>695</v>
      </c>
      <c r="S8" s="131" t="s">
        <v>568</v>
      </c>
      <c r="T8" s="131" t="s">
        <v>723</v>
      </c>
      <c r="U8" s="131" t="s">
        <v>576</v>
      </c>
      <c r="V8" s="133">
        <v>134.66</v>
      </c>
    </row>
    <row r="9" spans="1:22" ht="15.75" customHeight="1">
      <c r="A9" s="50">
        <v>1330</v>
      </c>
      <c r="B9" s="155" t="s">
        <v>594</v>
      </c>
      <c r="C9" s="155" t="s">
        <v>721</v>
      </c>
      <c r="D9" s="155" t="s">
        <v>679</v>
      </c>
      <c r="F9" s="94" t="s">
        <v>601</v>
      </c>
      <c r="G9" s="89" t="s">
        <v>175</v>
      </c>
      <c r="H9" s="99" t="s">
        <v>721</v>
      </c>
      <c r="I9" s="89" t="s">
        <v>594</v>
      </c>
      <c r="J9" s="90">
        <v>59.2</v>
      </c>
      <c r="L9" s="94" t="s">
        <v>601</v>
      </c>
      <c r="M9" s="128" t="s">
        <v>175</v>
      </c>
      <c r="N9" s="128" t="s">
        <v>721</v>
      </c>
      <c r="O9" s="128" t="s">
        <v>594</v>
      </c>
      <c r="P9" s="129">
        <v>59.2</v>
      </c>
      <c r="R9" s="131" t="s">
        <v>728</v>
      </c>
      <c r="S9" s="131" t="s">
        <v>729</v>
      </c>
      <c r="T9" s="131" t="s">
        <v>551</v>
      </c>
      <c r="U9" s="131" t="s">
        <v>158</v>
      </c>
      <c r="V9" s="132">
        <v>1044.4659999999999</v>
      </c>
    </row>
    <row r="10" spans="1:22" ht="15.75" customHeight="1">
      <c r="A10" s="50">
        <v>2549</v>
      </c>
      <c r="B10" s="155" t="s">
        <v>567</v>
      </c>
      <c r="C10" s="155" t="s">
        <v>730</v>
      </c>
      <c r="D10" s="155" t="s">
        <v>679</v>
      </c>
      <c r="F10" s="89" t="s">
        <v>560</v>
      </c>
      <c r="G10" s="99" t="s">
        <v>164</v>
      </c>
      <c r="H10" s="99" t="s">
        <v>730</v>
      </c>
      <c r="I10" s="89" t="s">
        <v>567</v>
      </c>
      <c r="J10" s="98">
        <v>200</v>
      </c>
      <c r="L10" s="128" t="s">
        <v>560</v>
      </c>
      <c r="M10" s="128" t="s">
        <v>164</v>
      </c>
      <c r="N10" s="128" t="s">
        <v>730</v>
      </c>
      <c r="O10" s="128" t="s">
        <v>567</v>
      </c>
      <c r="P10" s="129">
        <v>200</v>
      </c>
      <c r="R10" s="131" t="s">
        <v>728</v>
      </c>
      <c r="S10" s="131" t="s">
        <v>729</v>
      </c>
      <c r="T10" s="131" t="s">
        <v>558</v>
      </c>
      <c r="U10" s="131" t="s">
        <v>160</v>
      </c>
      <c r="V10" s="132">
        <v>1144.6279999999999</v>
      </c>
    </row>
    <row r="11" spans="1:22" ht="15.75" customHeight="1">
      <c r="A11" s="50">
        <v>11369</v>
      </c>
      <c r="B11" s="155" t="s">
        <v>569</v>
      </c>
      <c r="C11" s="155" t="s">
        <v>731</v>
      </c>
      <c r="D11" s="155" t="s">
        <v>679</v>
      </c>
      <c r="F11" s="89" t="s">
        <v>560</v>
      </c>
      <c r="G11" s="99" t="s">
        <v>164</v>
      </c>
      <c r="H11" s="99" t="s">
        <v>731</v>
      </c>
      <c r="I11" s="89" t="s">
        <v>569</v>
      </c>
      <c r="J11" s="98">
        <v>16.37</v>
      </c>
      <c r="L11" s="128" t="s">
        <v>560</v>
      </c>
      <c r="M11" s="128" t="s">
        <v>164</v>
      </c>
      <c r="N11" s="128" t="s">
        <v>731</v>
      </c>
      <c r="O11" s="128" t="s">
        <v>569</v>
      </c>
      <c r="P11" s="129">
        <v>16.37</v>
      </c>
      <c r="R11" s="131" t="s">
        <v>556</v>
      </c>
      <c r="S11" s="131" t="s">
        <v>162</v>
      </c>
      <c r="T11" s="131" t="s">
        <v>692</v>
      </c>
      <c r="U11" s="131" t="s">
        <v>561</v>
      </c>
      <c r="V11" s="133">
        <v>275.58</v>
      </c>
    </row>
    <row r="12" spans="1:22" ht="15.75" customHeight="1">
      <c r="A12" s="50">
        <v>2561</v>
      </c>
      <c r="B12" s="155" t="s">
        <v>570</v>
      </c>
      <c r="C12" s="155" t="s">
        <v>732</v>
      </c>
      <c r="D12" s="155" t="s">
        <v>679</v>
      </c>
      <c r="F12" s="89" t="s">
        <v>560</v>
      </c>
      <c r="G12" s="99" t="s">
        <v>164</v>
      </c>
      <c r="H12" s="99" t="s">
        <v>732</v>
      </c>
      <c r="I12" s="89" t="s">
        <v>570</v>
      </c>
      <c r="J12" s="98">
        <v>97.42</v>
      </c>
      <c r="L12" s="128" t="s">
        <v>560</v>
      </c>
      <c r="M12" s="128" t="s">
        <v>164</v>
      </c>
      <c r="N12" s="128" t="s">
        <v>732</v>
      </c>
      <c r="O12" s="128" t="s">
        <v>570</v>
      </c>
      <c r="P12" s="129">
        <v>97.42</v>
      </c>
      <c r="R12" s="131" t="s">
        <v>556</v>
      </c>
      <c r="S12" s="131" t="s">
        <v>162</v>
      </c>
      <c r="T12" s="131" t="s">
        <v>724</v>
      </c>
      <c r="U12" s="131" t="s">
        <v>571</v>
      </c>
      <c r="V12" s="133">
        <v>154.22</v>
      </c>
    </row>
    <row r="13" spans="1:22" ht="15.75" customHeight="1">
      <c r="A13" s="50">
        <f>3105+208</f>
        <v>3313</v>
      </c>
      <c r="B13" s="155" t="s">
        <v>597</v>
      </c>
      <c r="C13" s="155" t="s">
        <v>733</v>
      </c>
      <c r="D13" s="155" t="s">
        <v>679</v>
      </c>
      <c r="E13" s="156"/>
      <c r="F13" s="94" t="s">
        <v>605</v>
      </c>
      <c r="G13" s="95" t="s">
        <v>179</v>
      </c>
      <c r="H13" s="143" t="s">
        <v>733</v>
      </c>
      <c r="I13" s="95" t="s">
        <v>597</v>
      </c>
      <c r="J13" s="140">
        <v>352.4</v>
      </c>
      <c r="L13" s="94" t="s">
        <v>605</v>
      </c>
      <c r="M13" s="136" t="s">
        <v>179</v>
      </c>
      <c r="N13" s="137" t="s">
        <v>733</v>
      </c>
      <c r="O13" s="136" t="s">
        <v>597</v>
      </c>
      <c r="P13" s="135">
        <v>352.4</v>
      </c>
      <c r="R13" s="131" t="s">
        <v>556</v>
      </c>
      <c r="S13" s="131" t="s">
        <v>162</v>
      </c>
      <c r="T13" s="131" t="s">
        <v>726</v>
      </c>
      <c r="U13" s="131" t="s">
        <v>588</v>
      </c>
      <c r="V13" s="133">
        <v>13.78</v>
      </c>
    </row>
    <row r="14" spans="1:22" ht="15.75" customHeight="1">
      <c r="A14" s="50">
        <v>3579</v>
      </c>
      <c r="B14" s="155" t="s">
        <v>571</v>
      </c>
      <c r="C14" s="155" t="s">
        <v>724</v>
      </c>
      <c r="D14" s="155" t="s">
        <v>679</v>
      </c>
      <c r="F14" s="89" t="s">
        <v>556</v>
      </c>
      <c r="G14" s="99" t="s">
        <v>162</v>
      </c>
      <c r="H14" s="99" t="s">
        <v>724</v>
      </c>
      <c r="I14" s="89" t="s">
        <v>571</v>
      </c>
      <c r="J14" s="98">
        <v>154.22</v>
      </c>
      <c r="L14" s="128" t="s">
        <v>556</v>
      </c>
      <c r="M14" s="128" t="s">
        <v>162</v>
      </c>
      <c r="N14" s="128" t="s">
        <v>724</v>
      </c>
      <c r="O14" s="128" t="s">
        <v>571</v>
      </c>
      <c r="P14" s="129">
        <v>154.22</v>
      </c>
      <c r="R14" s="131" t="s">
        <v>558</v>
      </c>
      <c r="S14" s="131" t="s">
        <v>160</v>
      </c>
      <c r="T14" s="131" t="s">
        <v>696</v>
      </c>
      <c r="U14" s="131" t="s">
        <v>614</v>
      </c>
      <c r="V14" s="132">
        <v>1046.393</v>
      </c>
    </row>
    <row r="15" spans="1:22" ht="15.75" customHeight="1">
      <c r="A15" s="50">
        <v>3692</v>
      </c>
      <c r="B15" s="155" t="s">
        <v>572</v>
      </c>
      <c r="C15" s="155" t="s">
        <v>734</v>
      </c>
      <c r="D15" s="155" t="s">
        <v>679</v>
      </c>
      <c r="F15" s="89" t="s">
        <v>562</v>
      </c>
      <c r="G15" s="99" t="s">
        <v>166</v>
      </c>
      <c r="H15" s="99" t="s">
        <v>734</v>
      </c>
      <c r="I15" s="89" t="s">
        <v>572</v>
      </c>
      <c r="J15" s="98">
        <v>170.45</v>
      </c>
      <c r="L15" s="128" t="s">
        <v>562</v>
      </c>
      <c r="M15" s="128" t="s">
        <v>166</v>
      </c>
      <c r="N15" s="128" t="s">
        <v>734</v>
      </c>
      <c r="O15" s="128" t="s">
        <v>572</v>
      </c>
      <c r="P15" s="129">
        <v>170.45</v>
      </c>
      <c r="R15" s="131" t="s">
        <v>558</v>
      </c>
      <c r="S15" s="131" t="s">
        <v>160</v>
      </c>
      <c r="T15" s="131" t="s">
        <v>699</v>
      </c>
      <c r="U15" s="131" t="s">
        <v>615</v>
      </c>
      <c r="V15" s="132">
        <v>924.61900000000003</v>
      </c>
    </row>
    <row r="16" spans="1:22" ht="15.75" customHeight="1">
      <c r="A16" s="50">
        <v>4425</v>
      </c>
      <c r="B16" s="155" t="s">
        <v>575</v>
      </c>
      <c r="C16" s="155" t="s">
        <v>735</v>
      </c>
      <c r="D16" s="155" t="s">
        <v>679</v>
      </c>
      <c r="F16" s="99" t="s">
        <v>700</v>
      </c>
      <c r="G16" s="89" t="s">
        <v>577</v>
      </c>
      <c r="H16" s="143" t="s">
        <v>735</v>
      </c>
      <c r="I16" s="99" t="s">
        <v>575</v>
      </c>
      <c r="J16" s="139">
        <v>138.44999999999999</v>
      </c>
      <c r="L16" s="128" t="s">
        <v>700</v>
      </c>
      <c r="M16" s="128" t="s">
        <v>577</v>
      </c>
      <c r="N16" s="137" t="s">
        <v>735</v>
      </c>
      <c r="O16" s="128" t="s">
        <v>575</v>
      </c>
      <c r="P16" s="138">
        <v>138.44999999999999</v>
      </c>
      <c r="R16" s="131" t="s">
        <v>558</v>
      </c>
      <c r="S16" s="131" t="s">
        <v>160</v>
      </c>
      <c r="T16" s="131" t="s">
        <v>703</v>
      </c>
      <c r="U16" s="131" t="s">
        <v>616</v>
      </c>
      <c r="V16" s="132">
        <v>179.48500000000001</v>
      </c>
    </row>
    <row r="17" spans="1:22" ht="15.75" customHeight="1">
      <c r="A17" s="50">
        <v>2672</v>
      </c>
      <c r="B17" s="155" t="s">
        <v>576</v>
      </c>
      <c r="C17" s="155" t="s">
        <v>723</v>
      </c>
      <c r="D17" s="155" t="s">
        <v>679</v>
      </c>
      <c r="F17" s="99" t="s">
        <v>695</v>
      </c>
      <c r="G17" s="89" t="s">
        <v>568</v>
      </c>
      <c r="H17" s="99" t="s">
        <v>723</v>
      </c>
      <c r="I17" s="89" t="s">
        <v>576</v>
      </c>
      <c r="J17" s="98">
        <v>134.66</v>
      </c>
      <c r="L17" s="128" t="s">
        <v>695</v>
      </c>
      <c r="M17" s="128" t="s">
        <v>568</v>
      </c>
      <c r="N17" s="128" t="s">
        <v>723</v>
      </c>
      <c r="O17" s="128" t="s">
        <v>576</v>
      </c>
      <c r="P17" s="129">
        <v>134.66</v>
      </c>
      <c r="R17" s="131" t="s">
        <v>560</v>
      </c>
      <c r="S17" s="131" t="s">
        <v>164</v>
      </c>
      <c r="T17" s="131" t="s">
        <v>694</v>
      </c>
      <c r="U17" s="131" t="s">
        <v>566</v>
      </c>
      <c r="V17" s="133">
        <v>194.85</v>
      </c>
    </row>
    <row r="18" spans="1:22" ht="15.75" customHeight="1">
      <c r="A18" s="50">
        <v>6285</v>
      </c>
      <c r="B18" s="155" t="s">
        <v>600</v>
      </c>
      <c r="C18" s="155" t="s">
        <v>738</v>
      </c>
      <c r="D18" s="155" t="s">
        <v>679</v>
      </c>
      <c r="F18" s="94" t="s">
        <v>607</v>
      </c>
      <c r="G18" s="89" t="s">
        <v>182</v>
      </c>
      <c r="H18" s="99" t="s">
        <v>738</v>
      </c>
      <c r="I18" s="89" t="s">
        <v>600</v>
      </c>
      <c r="J18" s="90">
        <v>212.077</v>
      </c>
      <c r="L18" s="94" t="s">
        <v>607</v>
      </c>
      <c r="M18" s="128" t="s">
        <v>182</v>
      </c>
      <c r="N18" s="128" t="s">
        <v>738</v>
      </c>
      <c r="O18" s="128" t="s">
        <v>600</v>
      </c>
      <c r="P18" s="129">
        <v>212.077</v>
      </c>
      <c r="R18" s="131" t="s">
        <v>560</v>
      </c>
      <c r="S18" s="131" t="s">
        <v>164</v>
      </c>
      <c r="T18" s="131" t="s">
        <v>730</v>
      </c>
      <c r="U18" s="131" t="s">
        <v>567</v>
      </c>
      <c r="V18" s="133">
        <v>200</v>
      </c>
    </row>
    <row r="19" spans="1:22" ht="15.75" customHeight="1">
      <c r="A19" s="50">
        <v>1826</v>
      </c>
      <c r="B19" s="155" t="s">
        <v>578</v>
      </c>
      <c r="C19" s="155" t="s">
        <v>736</v>
      </c>
      <c r="D19" s="155" t="s">
        <v>679</v>
      </c>
      <c r="F19" s="89" t="s">
        <v>560</v>
      </c>
      <c r="G19" s="99" t="s">
        <v>164</v>
      </c>
      <c r="H19" s="99" t="s">
        <v>736</v>
      </c>
      <c r="I19" s="89" t="s">
        <v>578</v>
      </c>
      <c r="J19" s="98">
        <v>55.23</v>
      </c>
      <c r="L19" s="128" t="s">
        <v>560</v>
      </c>
      <c r="M19" s="128" t="s">
        <v>164</v>
      </c>
      <c r="N19" s="128" t="s">
        <v>736</v>
      </c>
      <c r="O19" s="128" t="s">
        <v>578</v>
      </c>
      <c r="P19" s="129">
        <v>55.23</v>
      </c>
      <c r="R19" s="131" t="s">
        <v>560</v>
      </c>
      <c r="S19" s="131" t="s">
        <v>164</v>
      </c>
      <c r="T19" s="131" t="s">
        <v>731</v>
      </c>
      <c r="U19" s="131" t="s">
        <v>569</v>
      </c>
      <c r="V19" s="133">
        <v>16.37</v>
      </c>
    </row>
    <row r="20" spans="1:22" ht="15.75" customHeight="1">
      <c r="A20" s="50">
        <v>1223</v>
      </c>
      <c r="B20" s="155" t="s">
        <v>580</v>
      </c>
      <c r="C20" s="155" t="s">
        <v>740</v>
      </c>
      <c r="D20" s="155" t="s">
        <v>679</v>
      </c>
      <c r="F20" s="89" t="s">
        <v>564</v>
      </c>
      <c r="G20" s="99" t="s">
        <v>168</v>
      </c>
      <c r="H20" s="99" t="s">
        <v>740</v>
      </c>
      <c r="I20" s="89" t="s">
        <v>580</v>
      </c>
      <c r="J20" s="98">
        <v>71.72</v>
      </c>
      <c r="L20" s="128" t="s">
        <v>564</v>
      </c>
      <c r="M20" s="128" t="s">
        <v>168</v>
      </c>
      <c r="N20" s="128" t="s">
        <v>740</v>
      </c>
      <c r="O20" s="128" t="s">
        <v>580</v>
      </c>
      <c r="P20" s="129">
        <v>71.72</v>
      </c>
      <c r="R20" s="131" t="s">
        <v>560</v>
      </c>
      <c r="S20" s="131" t="s">
        <v>164</v>
      </c>
      <c r="T20" s="131" t="s">
        <v>732</v>
      </c>
      <c r="U20" s="131" t="s">
        <v>570</v>
      </c>
      <c r="V20" s="133">
        <v>97.42</v>
      </c>
    </row>
    <row r="21" spans="1:22" ht="15.75" customHeight="1">
      <c r="A21" s="50">
        <v>4675</v>
      </c>
      <c r="B21" s="155" t="s">
        <v>602</v>
      </c>
      <c r="C21" s="155" t="s">
        <v>709</v>
      </c>
      <c r="D21" s="155" t="s">
        <v>679</v>
      </c>
      <c r="F21" s="94" t="s">
        <v>595</v>
      </c>
      <c r="G21" s="89" t="s">
        <v>170</v>
      </c>
      <c r="H21" s="99" t="s">
        <v>709</v>
      </c>
      <c r="I21" s="89" t="s">
        <v>602</v>
      </c>
      <c r="J21" s="90">
        <v>161.958</v>
      </c>
      <c r="L21" s="94" t="s">
        <v>595</v>
      </c>
      <c r="M21" s="128" t="s">
        <v>170</v>
      </c>
      <c r="N21" s="128" t="s">
        <v>709</v>
      </c>
      <c r="O21" s="128" t="s">
        <v>602</v>
      </c>
      <c r="P21" s="129">
        <v>161.958</v>
      </c>
      <c r="R21" s="131" t="s">
        <v>560</v>
      </c>
      <c r="S21" s="131" t="s">
        <v>164</v>
      </c>
      <c r="T21" s="131" t="s">
        <v>700</v>
      </c>
      <c r="U21" s="131" t="s">
        <v>577</v>
      </c>
      <c r="V21" s="133">
        <v>375.38</v>
      </c>
    </row>
    <row r="22" spans="1:22" ht="15.75" customHeight="1">
      <c r="A22" s="50">
        <v>3422</v>
      </c>
      <c r="B22" s="155" t="s">
        <v>581</v>
      </c>
      <c r="C22" s="155" t="s">
        <v>741</v>
      </c>
      <c r="D22" s="155" t="s">
        <v>679</v>
      </c>
      <c r="F22" s="89" t="s">
        <v>701</v>
      </c>
      <c r="G22" s="89" t="s">
        <v>579</v>
      </c>
      <c r="H22" s="99" t="s">
        <v>741</v>
      </c>
      <c r="I22" s="89" t="s">
        <v>581</v>
      </c>
      <c r="J22" s="98">
        <v>103.54</v>
      </c>
      <c r="L22" s="128" t="s">
        <v>701</v>
      </c>
      <c r="M22" s="128" t="s">
        <v>579</v>
      </c>
      <c r="N22" s="128" t="s">
        <v>741</v>
      </c>
      <c r="O22" s="128" t="s">
        <v>581</v>
      </c>
      <c r="P22" s="129">
        <v>103.54</v>
      </c>
      <c r="R22" s="131" t="s">
        <v>560</v>
      </c>
      <c r="S22" s="131" t="s">
        <v>164</v>
      </c>
      <c r="T22" s="131" t="s">
        <v>736</v>
      </c>
      <c r="U22" s="131" t="s">
        <v>578</v>
      </c>
      <c r="V22" s="133">
        <v>55.23</v>
      </c>
    </row>
    <row r="23" spans="1:22" ht="15.75" customHeight="1">
      <c r="A23" s="50">
        <v>4287</v>
      </c>
      <c r="B23" s="155" t="s">
        <v>604</v>
      </c>
      <c r="C23" s="155" t="s">
        <v>720</v>
      </c>
      <c r="D23" s="155" t="s">
        <v>679</v>
      </c>
      <c r="F23" s="94" t="s">
        <v>598</v>
      </c>
      <c r="G23" s="89" t="s">
        <v>172</v>
      </c>
      <c r="H23" s="99" t="s">
        <v>720</v>
      </c>
      <c r="I23" s="89" t="s">
        <v>604</v>
      </c>
      <c r="J23" s="90">
        <v>94.263999999999996</v>
      </c>
      <c r="L23" s="94" t="s">
        <v>598</v>
      </c>
      <c r="M23" s="128" t="s">
        <v>172</v>
      </c>
      <c r="N23" s="128" t="s">
        <v>720</v>
      </c>
      <c r="O23" s="128" t="s">
        <v>604</v>
      </c>
      <c r="P23" s="129">
        <v>94.263999999999996</v>
      </c>
      <c r="R23" s="131" t="s">
        <v>560</v>
      </c>
      <c r="S23" s="131" t="s">
        <v>164</v>
      </c>
      <c r="T23" s="131" t="s">
        <v>739</v>
      </c>
      <c r="U23" s="131" t="s">
        <v>585</v>
      </c>
      <c r="V23" s="133">
        <v>41.33</v>
      </c>
    </row>
    <row r="24" spans="1:22" ht="15.75" customHeight="1">
      <c r="A24" s="50">
        <v>3554</v>
      </c>
      <c r="B24" s="155" t="s">
        <v>583</v>
      </c>
      <c r="C24" s="155" t="s">
        <v>742</v>
      </c>
      <c r="D24" s="155" t="s">
        <v>679</v>
      </c>
      <c r="F24" s="89" t="s">
        <v>701</v>
      </c>
      <c r="G24" s="89" t="s">
        <v>579</v>
      </c>
      <c r="H24" s="99" t="s">
        <v>742</v>
      </c>
      <c r="I24" s="89" t="s">
        <v>583</v>
      </c>
      <c r="J24" s="98">
        <v>80.400000000000006</v>
      </c>
      <c r="L24" s="128" t="s">
        <v>701</v>
      </c>
      <c r="M24" s="128" t="s">
        <v>579</v>
      </c>
      <c r="N24" s="128" t="s">
        <v>742</v>
      </c>
      <c r="O24" s="128" t="s">
        <v>583</v>
      </c>
      <c r="P24" s="129">
        <v>80.400000000000006</v>
      </c>
      <c r="R24" s="131" t="s">
        <v>560</v>
      </c>
      <c r="S24" s="131" t="s">
        <v>164</v>
      </c>
      <c r="T24" s="131" t="s">
        <v>737</v>
      </c>
      <c r="U24" s="131" t="s">
        <v>584</v>
      </c>
      <c r="V24" s="141">
        <v>224.38</v>
      </c>
    </row>
    <row r="25" spans="1:22" ht="15.75" customHeight="1">
      <c r="A25" s="50">
        <v>3964</v>
      </c>
      <c r="B25" s="157" t="s">
        <v>611</v>
      </c>
      <c r="C25" s="155" t="s">
        <v>743</v>
      </c>
      <c r="D25" s="155" t="s">
        <v>679</v>
      </c>
      <c r="F25" s="94" t="s">
        <v>605</v>
      </c>
      <c r="G25" s="95" t="s">
        <v>179</v>
      </c>
      <c r="H25" s="99" t="s">
        <v>743</v>
      </c>
      <c r="I25" s="89" t="s">
        <v>611</v>
      </c>
      <c r="J25" s="90">
        <v>151</v>
      </c>
      <c r="L25" s="94" t="s">
        <v>605</v>
      </c>
      <c r="M25" s="136" t="s">
        <v>179</v>
      </c>
      <c r="N25" s="128" t="s">
        <v>743</v>
      </c>
      <c r="O25" s="128" t="s">
        <v>611</v>
      </c>
      <c r="P25" s="129">
        <v>151</v>
      </c>
      <c r="R25" s="131" t="s">
        <v>562</v>
      </c>
      <c r="S25" s="131" t="s">
        <v>166</v>
      </c>
      <c r="T25" s="131" t="s">
        <v>719</v>
      </c>
      <c r="U25" s="131" t="s">
        <v>557</v>
      </c>
      <c r="V25" s="133">
        <v>55.4</v>
      </c>
    </row>
    <row r="26" spans="1:22" ht="15.75" customHeight="1">
      <c r="A26" s="50">
        <v>1169</v>
      </c>
      <c r="B26" s="155" t="s">
        <v>584</v>
      </c>
      <c r="C26" s="155" t="s">
        <v>737</v>
      </c>
      <c r="D26" s="155" t="s">
        <v>679</v>
      </c>
      <c r="F26" s="99" t="s">
        <v>560</v>
      </c>
      <c r="G26" s="99" t="s">
        <v>164</v>
      </c>
      <c r="H26" s="99" t="s">
        <v>737</v>
      </c>
      <c r="I26" s="89" t="s">
        <v>584</v>
      </c>
      <c r="J26" s="139">
        <v>224.38</v>
      </c>
      <c r="L26" s="128" t="s">
        <v>560</v>
      </c>
      <c r="M26" s="128" t="s">
        <v>164</v>
      </c>
      <c r="N26" s="128" t="s">
        <v>737</v>
      </c>
      <c r="O26" s="128" t="s">
        <v>584</v>
      </c>
      <c r="P26" s="138">
        <v>224.38</v>
      </c>
      <c r="R26" s="131" t="s">
        <v>562</v>
      </c>
      <c r="S26" s="131" t="s">
        <v>166</v>
      </c>
      <c r="T26" s="131" t="s">
        <v>734</v>
      </c>
      <c r="U26" s="131" t="s">
        <v>572</v>
      </c>
      <c r="V26" s="133">
        <v>170.45</v>
      </c>
    </row>
    <row r="27" spans="1:22" ht="15.75" customHeight="1">
      <c r="A27" s="50">
        <f>2842+3</f>
        <v>2845</v>
      </c>
      <c r="B27" s="157" t="s">
        <v>608</v>
      </c>
      <c r="C27" s="155" t="s">
        <v>745</v>
      </c>
      <c r="D27" s="155" t="s">
        <v>679</v>
      </c>
      <c r="F27" s="94" t="s">
        <v>605</v>
      </c>
      <c r="G27" s="97" t="s">
        <v>179</v>
      </c>
      <c r="H27" s="143" t="s">
        <v>745</v>
      </c>
      <c r="I27" s="97" t="s">
        <v>608</v>
      </c>
      <c r="J27" s="140">
        <v>321</v>
      </c>
      <c r="L27" s="94" t="s">
        <v>605</v>
      </c>
      <c r="M27" s="136" t="s">
        <v>179</v>
      </c>
      <c r="N27" s="137" t="s">
        <v>745</v>
      </c>
      <c r="O27" s="136" t="s">
        <v>608</v>
      </c>
      <c r="P27" s="135">
        <v>321</v>
      </c>
      <c r="R27" s="131" t="s">
        <v>562</v>
      </c>
      <c r="S27" s="131" t="s">
        <v>166</v>
      </c>
      <c r="T27" s="131" t="s">
        <v>744</v>
      </c>
      <c r="U27" s="131" t="s">
        <v>586</v>
      </c>
      <c r="V27" s="133">
        <v>35.19</v>
      </c>
    </row>
    <row r="28" spans="1:22" ht="15.75" customHeight="1">
      <c r="A28" s="50">
        <v>1978</v>
      </c>
      <c r="B28" s="155" t="s">
        <v>585</v>
      </c>
      <c r="C28" s="155" t="s">
        <v>739</v>
      </c>
      <c r="D28" s="155" t="s">
        <v>679</v>
      </c>
      <c r="F28" s="89" t="s">
        <v>560</v>
      </c>
      <c r="G28" s="99" t="s">
        <v>164</v>
      </c>
      <c r="H28" s="99" t="s">
        <v>739</v>
      </c>
      <c r="I28" s="89" t="s">
        <v>585</v>
      </c>
      <c r="J28" s="98">
        <v>41.33</v>
      </c>
      <c r="L28" s="128" t="s">
        <v>560</v>
      </c>
      <c r="M28" s="128" t="s">
        <v>164</v>
      </c>
      <c r="N28" s="128" t="s">
        <v>739</v>
      </c>
      <c r="O28" s="128" t="s">
        <v>585</v>
      </c>
      <c r="P28" s="129">
        <v>41.33</v>
      </c>
      <c r="R28" s="131" t="s">
        <v>562</v>
      </c>
      <c r="S28" s="131" t="s">
        <v>166</v>
      </c>
      <c r="T28" s="131" t="s">
        <v>727</v>
      </c>
      <c r="U28" s="131" t="s">
        <v>565</v>
      </c>
      <c r="V28" s="142">
        <v>47.8</v>
      </c>
    </row>
    <row r="29" spans="1:22" ht="15.75" customHeight="1">
      <c r="A29" s="158">
        <v>2088</v>
      </c>
      <c r="B29" s="157" t="s">
        <v>586</v>
      </c>
      <c r="C29" s="155" t="s">
        <v>744</v>
      </c>
      <c r="D29" s="155" t="s">
        <v>679</v>
      </c>
      <c r="F29" s="89" t="s">
        <v>562</v>
      </c>
      <c r="G29" s="99" t="s">
        <v>166</v>
      </c>
      <c r="H29" s="99" t="s">
        <v>744</v>
      </c>
      <c r="I29" s="89" t="s">
        <v>586</v>
      </c>
      <c r="J29" s="98">
        <v>35.19</v>
      </c>
      <c r="L29" s="128" t="s">
        <v>562</v>
      </c>
      <c r="M29" s="128" t="s">
        <v>166</v>
      </c>
      <c r="N29" s="128" t="s">
        <v>744</v>
      </c>
      <c r="O29" s="128" t="s">
        <v>586</v>
      </c>
      <c r="P29" s="129">
        <v>35.19</v>
      </c>
      <c r="R29" s="131" t="s">
        <v>603</v>
      </c>
      <c r="S29" s="131" t="s">
        <v>177</v>
      </c>
      <c r="T29" s="131" t="s">
        <v>716</v>
      </c>
      <c r="U29" s="131" t="s">
        <v>717</v>
      </c>
      <c r="V29" s="132">
        <v>343.09199999999998</v>
      </c>
    </row>
    <row r="30" spans="1:22" ht="15.75" customHeight="1">
      <c r="A30" s="50">
        <v>3785</v>
      </c>
      <c r="B30" s="155" t="s">
        <v>587</v>
      </c>
      <c r="C30" s="155" t="s">
        <v>746</v>
      </c>
      <c r="D30" s="155" t="s">
        <v>679</v>
      </c>
      <c r="F30" s="99" t="s">
        <v>700</v>
      </c>
      <c r="G30" s="89" t="s">
        <v>577</v>
      </c>
      <c r="H30" s="99" t="s">
        <v>746</v>
      </c>
      <c r="I30" s="89" t="s">
        <v>587</v>
      </c>
      <c r="J30" s="98">
        <v>72.180000000000007</v>
      </c>
      <c r="L30" s="128" t="s">
        <v>700</v>
      </c>
      <c r="M30" s="128" t="s">
        <v>577</v>
      </c>
      <c r="N30" s="128" t="s">
        <v>746</v>
      </c>
      <c r="O30" s="128" t="s">
        <v>587</v>
      </c>
      <c r="P30" s="129">
        <v>72.180000000000007</v>
      </c>
      <c r="R30" s="131" t="s">
        <v>700</v>
      </c>
      <c r="S30" s="131" t="s">
        <v>577</v>
      </c>
      <c r="T30" s="131" t="s">
        <v>725</v>
      </c>
      <c r="U30" s="131" t="s">
        <v>563</v>
      </c>
      <c r="V30" s="133">
        <v>49.98</v>
      </c>
    </row>
    <row r="31" spans="1:22" ht="15.75" customHeight="1">
      <c r="A31" s="50">
        <v>2181</v>
      </c>
      <c r="B31" s="157" t="s">
        <v>588</v>
      </c>
      <c r="C31" s="155" t="s">
        <v>726</v>
      </c>
      <c r="D31" s="155" t="s">
        <v>679</v>
      </c>
      <c r="F31" s="89" t="s">
        <v>556</v>
      </c>
      <c r="G31" s="99" t="s">
        <v>162</v>
      </c>
      <c r="H31" s="99" t="s">
        <v>726</v>
      </c>
      <c r="I31" s="89" t="s">
        <v>588</v>
      </c>
      <c r="J31" s="98">
        <v>13.78</v>
      </c>
      <c r="L31" s="128" t="s">
        <v>556</v>
      </c>
      <c r="M31" s="128" t="s">
        <v>162</v>
      </c>
      <c r="N31" s="128" t="s">
        <v>726</v>
      </c>
      <c r="O31" s="128" t="s">
        <v>588</v>
      </c>
      <c r="P31" s="129">
        <v>13.78</v>
      </c>
      <c r="R31" s="131" t="s">
        <v>700</v>
      </c>
      <c r="S31" s="131" t="s">
        <v>577</v>
      </c>
      <c r="T31" s="131" t="s">
        <v>746</v>
      </c>
      <c r="U31" s="131" t="s">
        <v>587</v>
      </c>
      <c r="V31" s="133">
        <v>72.180000000000007</v>
      </c>
    </row>
    <row r="32" spans="1:22" ht="15.75" customHeight="1">
      <c r="A32" s="159">
        <v>28496</v>
      </c>
      <c r="B32" s="157" t="s">
        <v>158</v>
      </c>
      <c r="C32" s="155" t="s">
        <v>551</v>
      </c>
      <c r="D32" s="155" t="s">
        <v>552</v>
      </c>
      <c r="F32" s="89" t="s">
        <v>556</v>
      </c>
      <c r="G32" s="99" t="s">
        <v>162</v>
      </c>
      <c r="H32" s="99" t="s">
        <v>692</v>
      </c>
      <c r="I32" s="89" t="s">
        <v>561</v>
      </c>
      <c r="J32" s="98">
        <v>275.58</v>
      </c>
      <c r="L32" s="128" t="s">
        <v>556</v>
      </c>
      <c r="M32" s="128" t="s">
        <v>162</v>
      </c>
      <c r="N32" s="128" t="s">
        <v>692</v>
      </c>
      <c r="O32" s="128" t="s">
        <v>561</v>
      </c>
      <c r="P32" s="129">
        <v>275.58</v>
      </c>
      <c r="R32" s="131" t="s">
        <v>700</v>
      </c>
      <c r="S32" s="131" t="s">
        <v>577</v>
      </c>
      <c r="T32" s="131" t="s">
        <v>735</v>
      </c>
      <c r="U32" s="131" t="s">
        <v>575</v>
      </c>
      <c r="V32" s="141">
        <v>138.44999999999999</v>
      </c>
    </row>
    <row r="33" spans="1:22" ht="15.75" customHeight="1">
      <c r="A33" s="159">
        <v>6252</v>
      </c>
      <c r="B33" s="157" t="s">
        <v>162</v>
      </c>
      <c r="C33" s="155" t="s">
        <v>556</v>
      </c>
      <c r="D33" s="155" t="s">
        <v>552</v>
      </c>
      <c r="F33" s="89" t="s">
        <v>558</v>
      </c>
      <c r="G33" s="89" t="s">
        <v>160</v>
      </c>
      <c r="H33" s="99" t="s">
        <v>693</v>
      </c>
      <c r="I33" s="89" t="s">
        <v>613</v>
      </c>
      <c r="J33" s="92">
        <v>440.971</v>
      </c>
      <c r="L33" s="128" t="s">
        <v>560</v>
      </c>
      <c r="M33" s="128" t="s">
        <v>164</v>
      </c>
      <c r="N33" s="128" t="s">
        <v>701</v>
      </c>
      <c r="O33" s="128" t="s">
        <v>579</v>
      </c>
      <c r="P33" s="145">
        <v>162.63999999999999</v>
      </c>
      <c r="R33" s="131" t="s">
        <v>564</v>
      </c>
      <c r="S33" s="131" t="s">
        <v>168</v>
      </c>
      <c r="T33" s="131" t="s">
        <v>697</v>
      </c>
      <c r="U33" s="131" t="s">
        <v>573</v>
      </c>
      <c r="V33" s="133">
        <v>589.5</v>
      </c>
    </row>
    <row r="34" spans="1:22" ht="15.75" customHeight="1">
      <c r="A34" s="159">
        <v>17216</v>
      </c>
      <c r="B34" s="155" t="s">
        <v>160</v>
      </c>
      <c r="C34" s="155" t="s">
        <v>558</v>
      </c>
      <c r="D34" s="155" t="s">
        <v>552</v>
      </c>
      <c r="F34" s="89" t="s">
        <v>560</v>
      </c>
      <c r="G34" s="99" t="s">
        <v>164</v>
      </c>
      <c r="H34" s="99" t="s">
        <v>694</v>
      </c>
      <c r="I34" s="89" t="s">
        <v>566</v>
      </c>
      <c r="J34" s="98">
        <v>194.85</v>
      </c>
      <c r="L34" s="128" t="s">
        <v>558</v>
      </c>
      <c r="M34" s="128" t="s">
        <v>160</v>
      </c>
      <c r="N34" s="128" t="s">
        <v>693</v>
      </c>
      <c r="O34" s="128" t="s">
        <v>613</v>
      </c>
      <c r="P34" s="146">
        <v>440.971</v>
      </c>
      <c r="R34" s="131" t="s">
        <v>564</v>
      </c>
      <c r="S34" s="131" t="s">
        <v>168</v>
      </c>
      <c r="T34" s="131" t="s">
        <v>698</v>
      </c>
      <c r="U34" s="131" t="s">
        <v>574</v>
      </c>
      <c r="V34" s="133">
        <v>406.82</v>
      </c>
    </row>
    <row r="35" spans="1:22" ht="15.75" customHeight="1">
      <c r="A35" s="159">
        <v>8800</v>
      </c>
      <c r="B35" s="157" t="s">
        <v>164</v>
      </c>
      <c r="C35" s="155" t="s">
        <v>560</v>
      </c>
      <c r="D35" s="155" t="s">
        <v>552</v>
      </c>
      <c r="F35" s="89" t="s">
        <v>562</v>
      </c>
      <c r="G35" s="99" t="s">
        <v>166</v>
      </c>
      <c r="H35" s="99" t="s">
        <v>695</v>
      </c>
      <c r="I35" s="89" t="s">
        <v>568</v>
      </c>
      <c r="J35" s="90">
        <v>396.91</v>
      </c>
      <c r="L35" s="128" t="s">
        <v>560</v>
      </c>
      <c r="M35" s="128" t="s">
        <v>164</v>
      </c>
      <c r="N35" s="128" t="s">
        <v>694</v>
      </c>
      <c r="O35" s="128" t="s">
        <v>566</v>
      </c>
      <c r="P35" s="129">
        <v>194.85</v>
      </c>
      <c r="R35" s="131" t="s">
        <v>564</v>
      </c>
      <c r="S35" s="131" t="s">
        <v>168</v>
      </c>
      <c r="T35" s="131" t="s">
        <v>740</v>
      </c>
      <c r="U35" s="131" t="s">
        <v>580</v>
      </c>
      <c r="V35" s="133">
        <v>71.72</v>
      </c>
    </row>
    <row r="36" spans="1:22" ht="14.25" customHeight="1">
      <c r="A36" s="159">
        <v>6680</v>
      </c>
      <c r="B36" s="157" t="s">
        <v>166</v>
      </c>
      <c r="C36" s="155" t="s">
        <v>562</v>
      </c>
      <c r="D36" s="155" t="s">
        <v>552</v>
      </c>
      <c r="F36" s="89" t="s">
        <v>558</v>
      </c>
      <c r="G36" s="89" t="s">
        <v>160</v>
      </c>
      <c r="H36" s="99" t="s">
        <v>696</v>
      </c>
      <c r="I36" s="89" t="s">
        <v>614</v>
      </c>
      <c r="J36" s="90">
        <v>1046.393</v>
      </c>
      <c r="L36" s="128" t="s">
        <v>562</v>
      </c>
      <c r="M36" s="128" t="s">
        <v>166</v>
      </c>
      <c r="N36" s="128" t="s">
        <v>695</v>
      </c>
      <c r="O36" s="128" t="s">
        <v>568</v>
      </c>
      <c r="P36" s="145">
        <v>396.91</v>
      </c>
      <c r="R36" s="131" t="s">
        <v>564</v>
      </c>
      <c r="S36" s="131" t="s">
        <v>168</v>
      </c>
      <c r="T36" s="131" t="s">
        <v>702</v>
      </c>
      <c r="U36" s="131" t="s">
        <v>582</v>
      </c>
      <c r="V36" s="133">
        <v>206.67</v>
      </c>
    </row>
    <row r="37" spans="1:22" ht="14.25" customHeight="1">
      <c r="A37" s="159">
        <v>7491</v>
      </c>
      <c r="B37" s="157" t="s">
        <v>168</v>
      </c>
      <c r="C37" s="155" t="s">
        <v>564</v>
      </c>
      <c r="D37" s="155" t="s">
        <v>552</v>
      </c>
      <c r="F37" s="89" t="s">
        <v>564</v>
      </c>
      <c r="G37" s="89" t="s">
        <v>168</v>
      </c>
      <c r="H37" s="99" t="s">
        <v>697</v>
      </c>
      <c r="I37" s="89" t="s">
        <v>573</v>
      </c>
      <c r="J37" s="98">
        <v>589.5</v>
      </c>
      <c r="L37" s="128" t="s">
        <v>562</v>
      </c>
      <c r="M37" s="128" t="s">
        <v>166</v>
      </c>
      <c r="N37" s="128" t="s">
        <v>695</v>
      </c>
      <c r="O37" s="128" t="s">
        <v>568</v>
      </c>
      <c r="P37" s="129">
        <v>396.91</v>
      </c>
      <c r="R37" s="131" t="s">
        <v>701</v>
      </c>
      <c r="S37" s="131" t="s">
        <v>579</v>
      </c>
      <c r="T37" s="131" t="s">
        <v>722</v>
      </c>
      <c r="U37" s="131" t="s">
        <v>559</v>
      </c>
      <c r="V37" s="133">
        <v>62.41</v>
      </c>
    </row>
    <row r="38" spans="1:22" ht="14.25" customHeight="1">
      <c r="A38" s="159">
        <v>16518</v>
      </c>
      <c r="B38" s="157" t="s">
        <v>170</v>
      </c>
      <c r="C38" s="155" t="s">
        <v>595</v>
      </c>
      <c r="D38" s="155" t="s">
        <v>596</v>
      </c>
      <c r="F38" s="89" t="s">
        <v>564</v>
      </c>
      <c r="G38" s="99" t="s">
        <v>168</v>
      </c>
      <c r="H38" s="99" t="s">
        <v>698</v>
      </c>
      <c r="I38" s="89" t="s">
        <v>574</v>
      </c>
      <c r="J38" s="98">
        <v>406.82</v>
      </c>
      <c r="L38" s="128" t="s">
        <v>558</v>
      </c>
      <c r="M38" s="128" t="s">
        <v>160</v>
      </c>
      <c r="N38" s="128" t="s">
        <v>696</v>
      </c>
      <c r="O38" s="128" t="s">
        <v>614</v>
      </c>
      <c r="P38" s="129">
        <v>1046.393</v>
      </c>
      <c r="R38" s="131" t="s">
        <v>701</v>
      </c>
      <c r="S38" s="131" t="s">
        <v>579</v>
      </c>
      <c r="T38" s="131" t="s">
        <v>741</v>
      </c>
      <c r="U38" s="131" t="s">
        <v>581</v>
      </c>
      <c r="V38" s="133">
        <v>103.54</v>
      </c>
    </row>
    <row r="39" spans="1:22" ht="14.25" customHeight="1">
      <c r="A39" s="159">
        <v>22620</v>
      </c>
      <c r="B39" s="157" t="s">
        <v>172</v>
      </c>
      <c r="C39" s="155" t="s">
        <v>598</v>
      </c>
      <c r="D39" s="155" t="s">
        <v>596</v>
      </c>
      <c r="F39" s="89" t="s">
        <v>558</v>
      </c>
      <c r="G39" s="89" t="s">
        <v>160</v>
      </c>
      <c r="H39" s="99" t="s">
        <v>699</v>
      </c>
      <c r="I39" s="89" t="s">
        <v>615</v>
      </c>
      <c r="J39" s="90">
        <v>924.61900000000003</v>
      </c>
      <c r="L39" s="128" t="s">
        <v>564</v>
      </c>
      <c r="M39" s="128" t="s">
        <v>168</v>
      </c>
      <c r="N39" s="128" t="s">
        <v>697</v>
      </c>
      <c r="O39" s="128" t="s">
        <v>573</v>
      </c>
      <c r="P39" s="129">
        <v>589.5</v>
      </c>
      <c r="R39" s="131" t="s">
        <v>701</v>
      </c>
      <c r="S39" s="131" t="s">
        <v>579</v>
      </c>
      <c r="T39" s="131" t="s">
        <v>742</v>
      </c>
      <c r="U39" s="131" t="s">
        <v>583</v>
      </c>
      <c r="V39" s="133">
        <v>80.400000000000006</v>
      </c>
    </row>
    <row r="40" spans="1:22" ht="14.25" customHeight="1">
      <c r="A40" s="159">
        <v>2879</v>
      </c>
      <c r="B40" s="157" t="s">
        <v>174</v>
      </c>
      <c r="C40" s="155" t="s">
        <v>599</v>
      </c>
      <c r="D40" s="155" t="s">
        <v>596</v>
      </c>
      <c r="F40" s="89" t="s">
        <v>560</v>
      </c>
      <c r="G40" s="99" t="s">
        <v>164</v>
      </c>
      <c r="H40" s="99" t="s">
        <v>700</v>
      </c>
      <c r="I40" s="89" t="s">
        <v>577</v>
      </c>
      <c r="J40" s="98">
        <v>375.38</v>
      </c>
      <c r="L40" s="128" t="s">
        <v>564</v>
      </c>
      <c r="M40" s="128" t="s">
        <v>168</v>
      </c>
      <c r="N40" s="128" t="s">
        <v>698</v>
      </c>
      <c r="O40" s="128" t="s">
        <v>574</v>
      </c>
      <c r="P40" s="129">
        <v>406.82</v>
      </c>
      <c r="R40" s="130" t="s">
        <v>605</v>
      </c>
      <c r="S40" s="148" t="s">
        <v>179</v>
      </c>
      <c r="T40" s="131" t="s">
        <v>743</v>
      </c>
      <c r="U40" s="131" t="s">
        <v>611</v>
      </c>
      <c r="V40" s="132">
        <v>151</v>
      </c>
    </row>
    <row r="41" spans="1:22" ht="14.25" customHeight="1">
      <c r="A41" s="159">
        <v>2010</v>
      </c>
      <c r="B41" s="157" t="s">
        <v>175</v>
      </c>
      <c r="C41" s="155" t="s">
        <v>601</v>
      </c>
      <c r="D41" s="155" t="s">
        <v>596</v>
      </c>
      <c r="F41" s="89" t="s">
        <v>560</v>
      </c>
      <c r="G41" s="99" t="s">
        <v>164</v>
      </c>
      <c r="H41" s="99" t="s">
        <v>701</v>
      </c>
      <c r="I41" s="99" t="s">
        <v>579</v>
      </c>
      <c r="J41" s="98">
        <v>162.63999999999999</v>
      </c>
      <c r="L41" s="128" t="s">
        <v>558</v>
      </c>
      <c r="M41" s="128" t="s">
        <v>160</v>
      </c>
      <c r="N41" s="128" t="s">
        <v>699</v>
      </c>
      <c r="O41" s="128" t="s">
        <v>615</v>
      </c>
      <c r="P41" s="129">
        <v>924.61900000000003</v>
      </c>
      <c r="R41" s="130" t="s">
        <v>605</v>
      </c>
      <c r="S41" s="148" t="s">
        <v>179</v>
      </c>
      <c r="T41" s="142" t="s">
        <v>733</v>
      </c>
      <c r="U41" s="148" t="s">
        <v>597</v>
      </c>
      <c r="V41" s="142">
        <v>352.4</v>
      </c>
    </row>
    <row r="42" spans="1:22" ht="14.25" customHeight="1">
      <c r="A42" s="159">
        <v>4632</v>
      </c>
      <c r="B42" s="157" t="s">
        <v>177</v>
      </c>
      <c r="C42" s="155" t="s">
        <v>603</v>
      </c>
      <c r="D42" s="155" t="s">
        <v>596</v>
      </c>
      <c r="F42" s="89" t="s">
        <v>564</v>
      </c>
      <c r="G42" s="99" t="s">
        <v>168</v>
      </c>
      <c r="H42" s="99" t="s">
        <v>702</v>
      </c>
      <c r="I42" s="99" t="s">
        <v>582</v>
      </c>
      <c r="J42" s="98">
        <v>206.67</v>
      </c>
      <c r="L42" s="128" t="s">
        <v>560</v>
      </c>
      <c r="M42" s="128" t="s">
        <v>164</v>
      </c>
      <c r="N42" s="128" t="s">
        <v>700</v>
      </c>
      <c r="O42" s="128" t="s">
        <v>577</v>
      </c>
      <c r="P42" s="129">
        <v>375.38</v>
      </c>
      <c r="R42" s="130" t="s">
        <v>605</v>
      </c>
      <c r="S42" s="148" t="s">
        <v>179</v>
      </c>
      <c r="T42" s="142" t="s">
        <v>745</v>
      </c>
      <c r="U42" s="148" t="s">
        <v>608</v>
      </c>
      <c r="V42" s="142">
        <v>321</v>
      </c>
    </row>
    <row r="43" spans="1:22" ht="14.25" customHeight="1">
      <c r="A43" s="159">
        <v>8377</v>
      </c>
      <c r="B43" s="157" t="s">
        <v>179</v>
      </c>
      <c r="C43" s="155" t="s">
        <v>605</v>
      </c>
      <c r="D43" s="155" t="s">
        <v>596</v>
      </c>
      <c r="F43" s="89" t="s">
        <v>558</v>
      </c>
      <c r="G43" s="89" t="s">
        <v>160</v>
      </c>
      <c r="H43" s="99" t="s">
        <v>703</v>
      </c>
      <c r="I43" s="89" t="s">
        <v>616</v>
      </c>
      <c r="J43" s="90">
        <v>179.48500000000001</v>
      </c>
      <c r="L43" s="128" t="s">
        <v>560</v>
      </c>
      <c r="M43" s="128" t="s">
        <v>164</v>
      </c>
      <c r="N43" s="128" t="s">
        <v>701</v>
      </c>
      <c r="O43" s="128" t="s">
        <v>579</v>
      </c>
      <c r="P43" s="129">
        <v>162.63999999999999</v>
      </c>
      <c r="R43" s="130" t="s">
        <v>607</v>
      </c>
      <c r="S43" s="131" t="s">
        <v>182</v>
      </c>
      <c r="T43" s="131" t="s">
        <v>738</v>
      </c>
      <c r="U43" s="131" t="s">
        <v>600</v>
      </c>
      <c r="V43" s="132">
        <v>212.077</v>
      </c>
    </row>
    <row r="44" spans="1:22" ht="14.25" customHeight="1">
      <c r="A44" s="159">
        <v>11295</v>
      </c>
      <c r="B44" s="157" t="s">
        <v>181</v>
      </c>
      <c r="C44" s="155" t="s">
        <v>606</v>
      </c>
      <c r="D44" s="155" t="s">
        <v>596</v>
      </c>
      <c r="L44" s="128" t="s">
        <v>564</v>
      </c>
      <c r="M44" s="128" t="s">
        <v>168</v>
      </c>
      <c r="N44" s="128" t="s">
        <v>702</v>
      </c>
      <c r="O44" s="128" t="s">
        <v>582</v>
      </c>
      <c r="P44" s="129">
        <v>206.67</v>
      </c>
      <c r="R44" s="131" t="s">
        <v>562</v>
      </c>
      <c r="S44" s="131" t="s">
        <v>166</v>
      </c>
      <c r="T44" s="131" t="s">
        <v>695</v>
      </c>
      <c r="U44" s="131" t="s">
        <v>568</v>
      </c>
      <c r="V44" s="132">
        <v>396.91</v>
      </c>
    </row>
    <row r="45" spans="1:22" ht="14.25" customHeight="1">
      <c r="A45" s="159">
        <v>4316</v>
      </c>
      <c r="B45" s="157" t="s">
        <v>182</v>
      </c>
      <c r="C45" s="155" t="s">
        <v>607</v>
      </c>
      <c r="D45" s="155" t="s">
        <v>596</v>
      </c>
      <c r="L45" s="128" t="s">
        <v>558</v>
      </c>
      <c r="M45" s="128" t="s">
        <v>160</v>
      </c>
      <c r="N45" s="128" t="s">
        <v>703</v>
      </c>
      <c r="O45" s="128" t="s">
        <v>616</v>
      </c>
      <c r="P45" s="129">
        <v>179.48500000000001</v>
      </c>
      <c r="R45" s="131" t="s">
        <v>560</v>
      </c>
      <c r="S45" s="131" t="s">
        <v>164</v>
      </c>
      <c r="T45" s="131" t="s">
        <v>701</v>
      </c>
      <c r="U45" s="131" t="s">
        <v>579</v>
      </c>
      <c r="V45" s="133">
        <v>162.63999999999999</v>
      </c>
    </row>
    <row r="46" spans="1:22" ht="14.25" customHeight="1">
      <c r="A46" s="159">
        <v>12523</v>
      </c>
      <c r="B46" s="155" t="s">
        <v>184</v>
      </c>
      <c r="C46" s="155" t="s">
        <v>609</v>
      </c>
      <c r="D46" s="155" t="s">
        <v>596</v>
      </c>
      <c r="N46" s="53"/>
      <c r="O46" s="53"/>
    </row>
    <row r="47" spans="1:22" ht="14.25" customHeight="1">
      <c r="A47" s="50">
        <v>2724</v>
      </c>
      <c r="B47" s="155" t="s">
        <v>561</v>
      </c>
      <c r="C47" s="155" t="s">
        <v>692</v>
      </c>
      <c r="D47" s="155" t="s">
        <v>678</v>
      </c>
      <c r="N47" s="53"/>
      <c r="O47" s="53"/>
    </row>
    <row r="48" spans="1:22" ht="14.25" customHeight="1">
      <c r="A48" s="50">
        <v>5783</v>
      </c>
      <c r="B48" s="155" t="s">
        <v>613</v>
      </c>
      <c r="C48" s="155" t="s">
        <v>693</v>
      </c>
      <c r="D48" s="155" t="s">
        <v>678</v>
      </c>
      <c r="N48" s="53"/>
      <c r="O48" s="53"/>
    </row>
    <row r="49" spans="1:15" ht="14.25" customHeight="1">
      <c r="A49" s="50">
        <v>2871</v>
      </c>
      <c r="B49" s="155" t="s">
        <v>566</v>
      </c>
      <c r="C49" s="155" t="s">
        <v>694</v>
      </c>
      <c r="D49" s="155" t="s">
        <v>678</v>
      </c>
      <c r="N49" s="53"/>
      <c r="O49" s="53"/>
    </row>
    <row r="50" spans="1:15" ht="14.25" customHeight="1">
      <c r="A50" s="50">
        <v>8017</v>
      </c>
      <c r="B50" s="155" t="s">
        <v>568</v>
      </c>
      <c r="C50" s="155" t="s">
        <v>695</v>
      </c>
      <c r="D50" s="155" t="s">
        <v>678</v>
      </c>
      <c r="N50" s="53"/>
      <c r="O50" s="53"/>
    </row>
    <row r="51" spans="1:15" ht="14.25" customHeight="1">
      <c r="A51" s="50">
        <v>8540</v>
      </c>
      <c r="B51" s="155" t="s">
        <v>614</v>
      </c>
      <c r="C51" s="155" t="s">
        <v>696</v>
      </c>
      <c r="D51" s="155" t="s">
        <v>678</v>
      </c>
      <c r="N51" s="53"/>
      <c r="O51" s="53"/>
    </row>
    <row r="52" spans="1:15" ht="14.25" customHeight="1">
      <c r="A52" s="50">
        <v>9643</v>
      </c>
      <c r="B52" s="155" t="s">
        <v>573</v>
      </c>
      <c r="C52" s="155" t="s">
        <v>697</v>
      </c>
      <c r="D52" s="155" t="s">
        <v>678</v>
      </c>
      <c r="N52" s="53"/>
      <c r="O52" s="53"/>
    </row>
    <row r="53" spans="1:15" ht="14.25" customHeight="1">
      <c r="A53" s="50">
        <v>2902</v>
      </c>
      <c r="B53" s="155" t="s">
        <v>574</v>
      </c>
      <c r="C53" s="155" t="s">
        <v>698</v>
      </c>
      <c r="D53" s="155" t="s">
        <v>678</v>
      </c>
      <c r="N53" s="53"/>
      <c r="O53" s="53"/>
    </row>
    <row r="54" spans="1:15" ht="14.25" customHeight="1">
      <c r="A54" s="50">
        <v>2709</v>
      </c>
      <c r="B54" s="155" t="s">
        <v>615</v>
      </c>
      <c r="C54" s="155" t="s">
        <v>699</v>
      </c>
      <c r="D54" s="155" t="s">
        <v>678</v>
      </c>
      <c r="N54" s="53"/>
      <c r="O54" s="53"/>
    </row>
    <row r="55" spans="1:15" ht="14.25" customHeight="1">
      <c r="A55" s="50">
        <v>3259</v>
      </c>
      <c r="B55" s="155" t="s">
        <v>577</v>
      </c>
      <c r="C55" s="155" t="s">
        <v>700</v>
      </c>
      <c r="D55" s="155" t="s">
        <v>678</v>
      </c>
      <c r="N55" s="53"/>
      <c r="O55" s="53"/>
    </row>
    <row r="56" spans="1:15" ht="14.25" customHeight="1">
      <c r="A56" s="50">
        <v>5309</v>
      </c>
      <c r="B56" s="155" t="s">
        <v>579</v>
      </c>
      <c r="C56" s="155" t="s">
        <v>701</v>
      </c>
      <c r="D56" s="155" t="s">
        <v>678</v>
      </c>
      <c r="N56" s="53"/>
      <c r="O56" s="53"/>
    </row>
    <row r="57" spans="1:15" ht="14.25" customHeight="1">
      <c r="A57" s="50">
        <v>2016</v>
      </c>
      <c r="B57" s="155" t="s">
        <v>582</v>
      </c>
      <c r="C57" s="155" t="s">
        <v>702</v>
      </c>
      <c r="D57" s="155" t="s">
        <v>678</v>
      </c>
      <c r="N57" s="53"/>
      <c r="O57" s="53"/>
    </row>
    <row r="58" spans="1:15" ht="14.25" customHeight="1">
      <c r="A58" s="50">
        <v>3519</v>
      </c>
      <c r="B58" s="155" t="s">
        <v>616</v>
      </c>
      <c r="C58" s="155" t="s">
        <v>703</v>
      </c>
      <c r="D58" s="155" t="s">
        <v>678</v>
      </c>
      <c r="N58" s="53"/>
      <c r="O58" s="53"/>
    </row>
    <row r="59" spans="1:15" ht="12" customHeight="1">
      <c r="A59" s="57">
        <f>SUM(A2:A58)</f>
        <v>327943</v>
      </c>
      <c r="G59" s="57"/>
    </row>
    <row r="60" spans="1:15" ht="12" customHeight="1">
      <c r="G60" s="57"/>
    </row>
    <row r="61" spans="1:15" ht="12" customHeight="1">
      <c r="G61" s="57"/>
    </row>
    <row r="62" spans="1:15" ht="14.25" customHeight="1">
      <c r="A62" s="50">
        <f>ROUNDUP(4623,0)</f>
        <v>4623</v>
      </c>
      <c r="B62" s="155" t="s">
        <v>717</v>
      </c>
      <c r="C62" s="155" t="s">
        <v>716</v>
      </c>
      <c r="D62" s="155" t="s">
        <v>679</v>
      </c>
      <c r="F62" s="54" t="s">
        <v>625</v>
      </c>
      <c r="G62" s="58" t="s">
        <v>154</v>
      </c>
      <c r="H62" s="54" t="s">
        <v>545</v>
      </c>
      <c r="I62" s="54" t="s">
        <v>748</v>
      </c>
    </row>
    <row r="63" spans="1:15" ht="28.5" customHeight="1">
      <c r="A63" s="50">
        <f>ROUNDUP(1729,0)</f>
        <v>1729</v>
      </c>
      <c r="B63" s="155" t="s">
        <v>557</v>
      </c>
      <c r="C63" s="155" t="s">
        <v>719</v>
      </c>
      <c r="D63" s="155" t="s">
        <v>679</v>
      </c>
      <c r="F63" s="56" t="s">
        <v>716</v>
      </c>
      <c r="G63" s="50" t="s">
        <v>591</v>
      </c>
      <c r="H63" s="56" t="s">
        <v>749</v>
      </c>
      <c r="I63" s="56">
        <v>500</v>
      </c>
      <c r="K63" s="56" t="s">
        <v>716</v>
      </c>
      <c r="L63" s="56" t="s">
        <v>591</v>
      </c>
      <c r="M63" s="56" t="s">
        <v>749</v>
      </c>
    </row>
    <row r="64" spans="1:15" ht="28.5" customHeight="1">
      <c r="A64" s="50">
        <v>12496</v>
      </c>
      <c r="B64" s="155" t="s">
        <v>592</v>
      </c>
      <c r="C64" s="155" t="s">
        <v>714</v>
      </c>
      <c r="D64" s="155" t="s">
        <v>679</v>
      </c>
      <c r="F64" s="56" t="s">
        <v>719</v>
      </c>
      <c r="G64" s="50" t="s">
        <v>557</v>
      </c>
      <c r="H64" s="56" t="s">
        <v>749</v>
      </c>
      <c r="I64" s="56">
        <v>800</v>
      </c>
      <c r="K64" s="56" t="s">
        <v>719</v>
      </c>
      <c r="L64" s="56" t="s">
        <v>557</v>
      </c>
      <c r="M64" s="56" t="s">
        <v>749</v>
      </c>
    </row>
    <row r="65" spans="1:13" ht="28.5" customHeight="1">
      <c r="A65" s="56">
        <v>967</v>
      </c>
      <c r="B65" s="155" t="s">
        <v>559</v>
      </c>
      <c r="C65" s="155" t="s">
        <v>722</v>
      </c>
      <c r="D65" s="155" t="s">
        <v>679</v>
      </c>
      <c r="F65" s="56" t="s">
        <v>714</v>
      </c>
      <c r="G65" s="50" t="s">
        <v>592</v>
      </c>
      <c r="H65" s="56" t="s">
        <v>749</v>
      </c>
      <c r="I65" s="56">
        <v>400</v>
      </c>
      <c r="K65" s="56" t="s">
        <v>714</v>
      </c>
      <c r="L65" s="56" t="s">
        <v>592</v>
      </c>
      <c r="M65" s="56" t="s">
        <v>749</v>
      </c>
    </row>
    <row r="66" spans="1:13" ht="28.5" customHeight="1">
      <c r="A66" s="50">
        <v>7766</v>
      </c>
      <c r="B66" s="155" t="s">
        <v>593</v>
      </c>
      <c r="C66" s="155" t="s">
        <v>718</v>
      </c>
      <c r="D66" s="155" t="s">
        <v>679</v>
      </c>
      <c r="F66" s="56" t="s">
        <v>722</v>
      </c>
      <c r="G66" s="50" t="s">
        <v>559</v>
      </c>
      <c r="H66" s="56" t="s">
        <v>749</v>
      </c>
      <c r="I66" s="56">
        <v>500</v>
      </c>
      <c r="K66" s="56" t="s">
        <v>722</v>
      </c>
      <c r="L66" s="56" t="s">
        <v>559</v>
      </c>
      <c r="M66" s="56" t="s">
        <v>749</v>
      </c>
    </row>
    <row r="67" spans="1:13" ht="28.5" customHeight="1">
      <c r="A67" s="50">
        <v>1924</v>
      </c>
      <c r="B67" s="155" t="s">
        <v>563</v>
      </c>
      <c r="C67" s="155" t="s">
        <v>725</v>
      </c>
      <c r="D67" s="155" t="s">
        <v>679</v>
      </c>
      <c r="F67" s="56" t="s">
        <v>718</v>
      </c>
      <c r="G67" s="50" t="s">
        <v>593</v>
      </c>
      <c r="H67" s="56" t="s">
        <v>749</v>
      </c>
      <c r="I67" s="56">
        <v>800</v>
      </c>
      <c r="K67" s="56" t="s">
        <v>718</v>
      </c>
      <c r="L67" s="56" t="s">
        <v>593</v>
      </c>
      <c r="M67" s="56" t="s">
        <v>749</v>
      </c>
    </row>
    <row r="68" spans="1:13" ht="28.5" customHeight="1">
      <c r="A68" s="50">
        <v>2269</v>
      </c>
      <c r="B68" s="155" t="s">
        <v>565</v>
      </c>
      <c r="C68" s="155" t="s">
        <v>727</v>
      </c>
      <c r="D68" s="155" t="s">
        <v>679</v>
      </c>
      <c r="F68" s="56" t="s">
        <v>725</v>
      </c>
      <c r="G68" s="50" t="s">
        <v>563</v>
      </c>
      <c r="H68" s="56" t="s">
        <v>749</v>
      </c>
      <c r="I68" s="56">
        <v>500</v>
      </c>
      <c r="K68" s="56" t="s">
        <v>725</v>
      </c>
      <c r="L68" s="56" t="s">
        <v>563</v>
      </c>
      <c r="M68" s="56" t="s">
        <v>749</v>
      </c>
    </row>
    <row r="69" spans="1:13" ht="28.5" customHeight="1">
      <c r="A69" s="50">
        <v>1330</v>
      </c>
      <c r="B69" s="155" t="s">
        <v>594</v>
      </c>
      <c r="C69" s="155" t="s">
        <v>721</v>
      </c>
      <c r="D69" s="155" t="s">
        <v>679</v>
      </c>
      <c r="F69" s="56" t="s">
        <v>727</v>
      </c>
      <c r="G69" s="50" t="s">
        <v>565</v>
      </c>
      <c r="H69" s="56" t="s">
        <v>749</v>
      </c>
      <c r="I69" s="56">
        <v>800</v>
      </c>
      <c r="K69" s="56" t="s">
        <v>727</v>
      </c>
      <c r="L69" s="56" t="s">
        <v>565</v>
      </c>
      <c r="M69" s="56" t="s">
        <v>749</v>
      </c>
    </row>
    <row r="70" spans="1:13" ht="28.5" customHeight="1">
      <c r="A70" s="50">
        <v>2549</v>
      </c>
      <c r="B70" s="155" t="s">
        <v>567</v>
      </c>
      <c r="C70" s="155" t="s">
        <v>730</v>
      </c>
      <c r="D70" s="155" t="s">
        <v>679</v>
      </c>
      <c r="F70" s="56" t="s">
        <v>721</v>
      </c>
      <c r="G70" s="50" t="s">
        <v>594</v>
      </c>
      <c r="H70" s="56" t="s">
        <v>749</v>
      </c>
      <c r="I70" s="56">
        <v>200</v>
      </c>
      <c r="K70" s="56" t="s">
        <v>721</v>
      </c>
      <c r="L70" s="56" t="s">
        <v>750</v>
      </c>
      <c r="M70" s="56" t="s">
        <v>749</v>
      </c>
    </row>
    <row r="71" spans="1:13" ht="28.5" customHeight="1">
      <c r="A71" s="50">
        <v>11369</v>
      </c>
      <c r="B71" s="155" t="s">
        <v>569</v>
      </c>
      <c r="C71" s="155" t="s">
        <v>731</v>
      </c>
      <c r="D71" s="155" t="s">
        <v>679</v>
      </c>
      <c r="F71" s="56" t="s">
        <v>730</v>
      </c>
      <c r="G71" s="50" t="s">
        <v>567</v>
      </c>
      <c r="H71" s="56" t="s">
        <v>749</v>
      </c>
      <c r="I71" s="56">
        <v>400</v>
      </c>
      <c r="K71" s="56" t="s">
        <v>730</v>
      </c>
      <c r="L71" s="56" t="s">
        <v>567</v>
      </c>
      <c r="M71" s="56" t="s">
        <v>749</v>
      </c>
    </row>
    <row r="72" spans="1:13" ht="28.5" customHeight="1">
      <c r="A72" s="50">
        <v>2561</v>
      </c>
      <c r="B72" s="155" t="s">
        <v>570</v>
      </c>
      <c r="C72" s="155" t="s">
        <v>732</v>
      </c>
      <c r="D72" s="155" t="s">
        <v>679</v>
      </c>
      <c r="F72" s="56" t="s">
        <v>731</v>
      </c>
      <c r="G72" s="50" t="s">
        <v>569</v>
      </c>
      <c r="H72" s="56" t="s">
        <v>749</v>
      </c>
      <c r="I72" s="56">
        <v>400</v>
      </c>
      <c r="K72" s="56" t="s">
        <v>731</v>
      </c>
      <c r="L72" s="56" t="s">
        <v>569</v>
      </c>
      <c r="M72" s="56" t="s">
        <v>749</v>
      </c>
    </row>
    <row r="73" spans="1:13" ht="28.5" customHeight="1">
      <c r="A73" s="50">
        <f>3105+208</f>
        <v>3313</v>
      </c>
      <c r="B73" s="155" t="s">
        <v>597</v>
      </c>
      <c r="C73" s="155" t="s">
        <v>733</v>
      </c>
      <c r="D73" s="155" t="s">
        <v>679</v>
      </c>
      <c r="F73" s="56" t="s">
        <v>732</v>
      </c>
      <c r="G73" s="50" t="s">
        <v>570</v>
      </c>
      <c r="H73" s="56" t="s">
        <v>749</v>
      </c>
      <c r="I73" s="56">
        <v>400</v>
      </c>
      <c r="K73" s="56" t="s">
        <v>732</v>
      </c>
      <c r="L73" s="56" t="s">
        <v>570</v>
      </c>
      <c r="M73" s="56" t="s">
        <v>749</v>
      </c>
    </row>
    <row r="74" spans="1:13" ht="28.5" customHeight="1">
      <c r="A74" s="50">
        <v>3579</v>
      </c>
      <c r="B74" s="155" t="s">
        <v>571</v>
      </c>
      <c r="C74" s="155" t="s">
        <v>724</v>
      </c>
      <c r="D74" s="155" t="s">
        <v>679</v>
      </c>
      <c r="F74" s="56" t="s">
        <v>733</v>
      </c>
      <c r="G74" s="50" t="s">
        <v>597</v>
      </c>
      <c r="H74" s="56" t="s">
        <v>749</v>
      </c>
      <c r="I74" s="56">
        <v>400</v>
      </c>
      <c r="K74" s="56" t="s">
        <v>733</v>
      </c>
      <c r="L74" s="56" t="s">
        <v>597</v>
      </c>
      <c r="M74" s="56" t="s">
        <v>749</v>
      </c>
    </row>
    <row r="75" spans="1:13" ht="28.5" customHeight="1">
      <c r="A75" s="50">
        <v>3692</v>
      </c>
      <c r="B75" s="155" t="s">
        <v>572</v>
      </c>
      <c r="C75" s="155" t="s">
        <v>734</v>
      </c>
      <c r="D75" s="155" t="s">
        <v>679</v>
      </c>
      <c r="F75" s="56" t="s">
        <v>724</v>
      </c>
      <c r="G75" s="50" t="s">
        <v>571</v>
      </c>
      <c r="H75" s="56" t="s">
        <v>749</v>
      </c>
      <c r="I75" s="56">
        <v>700</v>
      </c>
      <c r="K75" s="56" t="s">
        <v>724</v>
      </c>
      <c r="L75" s="56" t="s">
        <v>571</v>
      </c>
      <c r="M75" s="56" t="s">
        <v>749</v>
      </c>
    </row>
    <row r="76" spans="1:13" ht="28.5" customHeight="1">
      <c r="A76" s="50">
        <v>4425</v>
      </c>
      <c r="B76" s="155" t="s">
        <v>575</v>
      </c>
      <c r="C76" s="155" t="s">
        <v>735</v>
      </c>
      <c r="D76" s="155" t="s">
        <v>679</v>
      </c>
      <c r="F76" s="56" t="s">
        <v>734</v>
      </c>
      <c r="G76" s="50" t="s">
        <v>572</v>
      </c>
      <c r="H76" s="56" t="s">
        <v>749</v>
      </c>
      <c r="I76" s="56">
        <v>800</v>
      </c>
      <c r="K76" s="56" t="s">
        <v>734</v>
      </c>
      <c r="L76" s="56" t="s">
        <v>572</v>
      </c>
      <c r="M76" s="56" t="s">
        <v>749</v>
      </c>
    </row>
    <row r="77" spans="1:13" ht="28.5" customHeight="1">
      <c r="A77" s="50">
        <v>2672</v>
      </c>
      <c r="B77" s="155" t="s">
        <v>576</v>
      </c>
      <c r="C77" s="155" t="s">
        <v>723</v>
      </c>
      <c r="D77" s="155" t="s">
        <v>679</v>
      </c>
      <c r="F77" s="56" t="s">
        <v>735</v>
      </c>
      <c r="G77" s="50" t="s">
        <v>575</v>
      </c>
      <c r="H77" s="56" t="s">
        <v>749</v>
      </c>
      <c r="I77" s="56">
        <v>500</v>
      </c>
      <c r="K77" s="56" t="s">
        <v>735</v>
      </c>
      <c r="L77" s="56" t="s">
        <v>575</v>
      </c>
      <c r="M77" s="56" t="s">
        <v>749</v>
      </c>
    </row>
    <row r="78" spans="1:13" ht="28.5" customHeight="1">
      <c r="A78" s="50">
        <v>6285</v>
      </c>
      <c r="B78" s="155" t="s">
        <v>600</v>
      </c>
      <c r="C78" s="155" t="s">
        <v>738</v>
      </c>
      <c r="D78" s="155" t="s">
        <v>679</v>
      </c>
      <c r="F78" s="56" t="s">
        <v>723</v>
      </c>
      <c r="G78" s="50" t="s">
        <v>576</v>
      </c>
      <c r="H78" s="56" t="s">
        <v>749</v>
      </c>
      <c r="I78" s="56">
        <v>350</v>
      </c>
      <c r="K78" s="56" t="s">
        <v>723</v>
      </c>
      <c r="L78" s="56" t="s">
        <v>576</v>
      </c>
      <c r="M78" s="56" t="s">
        <v>749</v>
      </c>
    </row>
    <row r="79" spans="1:13" ht="28.5" customHeight="1">
      <c r="A79" s="50">
        <v>1826</v>
      </c>
      <c r="B79" s="155" t="s">
        <v>578</v>
      </c>
      <c r="C79" s="155" t="s">
        <v>736</v>
      </c>
      <c r="D79" s="155" t="s">
        <v>679</v>
      </c>
      <c r="F79" s="56" t="s">
        <v>738</v>
      </c>
      <c r="G79" s="50" t="s">
        <v>600</v>
      </c>
      <c r="H79" s="56" t="s">
        <v>749</v>
      </c>
      <c r="I79" s="56">
        <v>400</v>
      </c>
      <c r="K79" s="56" t="s">
        <v>738</v>
      </c>
      <c r="L79" s="56" t="s">
        <v>600</v>
      </c>
      <c r="M79" s="56" t="s">
        <v>749</v>
      </c>
    </row>
    <row r="80" spans="1:13" ht="28.5" customHeight="1">
      <c r="A80" s="50">
        <v>1223</v>
      </c>
      <c r="B80" s="155" t="s">
        <v>580</v>
      </c>
      <c r="C80" s="155" t="s">
        <v>740</v>
      </c>
      <c r="D80" s="155" t="s">
        <v>679</v>
      </c>
      <c r="F80" s="56" t="s">
        <v>736</v>
      </c>
      <c r="G80" s="50" t="s">
        <v>578</v>
      </c>
      <c r="H80" s="56" t="s">
        <v>749</v>
      </c>
      <c r="I80" s="56">
        <v>400</v>
      </c>
      <c r="K80" s="56" t="s">
        <v>736</v>
      </c>
      <c r="L80" s="56" t="s">
        <v>578</v>
      </c>
      <c r="M80" s="56" t="s">
        <v>749</v>
      </c>
    </row>
    <row r="81" spans="1:13" ht="28.5" customHeight="1">
      <c r="A81" s="50">
        <v>4675</v>
      </c>
      <c r="B81" s="155" t="s">
        <v>602</v>
      </c>
      <c r="C81" s="155" t="s">
        <v>709</v>
      </c>
      <c r="D81" s="155" t="s">
        <v>679</v>
      </c>
      <c r="F81" s="56" t="s">
        <v>740</v>
      </c>
      <c r="G81" s="50" t="s">
        <v>580</v>
      </c>
      <c r="H81" s="56" t="s">
        <v>749</v>
      </c>
      <c r="I81" s="56">
        <v>500</v>
      </c>
      <c r="K81" s="56" t="s">
        <v>740</v>
      </c>
      <c r="L81" s="56" t="s">
        <v>580</v>
      </c>
      <c r="M81" s="56" t="s">
        <v>749</v>
      </c>
    </row>
    <row r="82" spans="1:13" ht="28.5" customHeight="1">
      <c r="A82" s="50">
        <v>3422</v>
      </c>
      <c r="B82" s="155" t="s">
        <v>581</v>
      </c>
      <c r="C82" s="155" t="s">
        <v>741</v>
      </c>
      <c r="D82" s="155" t="s">
        <v>679</v>
      </c>
      <c r="F82" s="56" t="s">
        <v>709</v>
      </c>
      <c r="G82" s="50" t="s">
        <v>602</v>
      </c>
      <c r="H82" s="56" t="s">
        <v>749</v>
      </c>
      <c r="I82" s="56">
        <v>600</v>
      </c>
      <c r="K82" s="56" t="s">
        <v>709</v>
      </c>
      <c r="L82" s="56" t="s">
        <v>602</v>
      </c>
      <c r="M82" s="56" t="s">
        <v>749</v>
      </c>
    </row>
    <row r="83" spans="1:13" ht="28.5" customHeight="1">
      <c r="A83" s="50">
        <v>4287</v>
      </c>
      <c r="B83" s="155" t="s">
        <v>604</v>
      </c>
      <c r="C83" s="155" t="s">
        <v>720</v>
      </c>
      <c r="D83" s="155" t="s">
        <v>679</v>
      </c>
      <c r="F83" s="56" t="s">
        <v>741</v>
      </c>
      <c r="G83" s="50" t="s">
        <v>581</v>
      </c>
      <c r="H83" s="56" t="s">
        <v>749</v>
      </c>
      <c r="I83" s="56">
        <v>500</v>
      </c>
      <c r="K83" s="56" t="s">
        <v>741</v>
      </c>
      <c r="L83" s="56" t="s">
        <v>581</v>
      </c>
      <c r="M83" s="56" t="s">
        <v>749</v>
      </c>
    </row>
    <row r="84" spans="1:13" ht="28.5" customHeight="1">
      <c r="A84" s="50">
        <v>3554</v>
      </c>
      <c r="B84" s="155" t="s">
        <v>583</v>
      </c>
      <c r="C84" s="155" t="s">
        <v>742</v>
      </c>
      <c r="D84" s="155" t="s">
        <v>679</v>
      </c>
      <c r="F84" s="56" t="s">
        <v>720</v>
      </c>
      <c r="G84" s="50" t="s">
        <v>604</v>
      </c>
      <c r="H84" s="56" t="s">
        <v>749</v>
      </c>
      <c r="I84" s="56">
        <v>800</v>
      </c>
      <c r="K84" s="56" t="s">
        <v>720</v>
      </c>
      <c r="L84" s="56" t="s">
        <v>604</v>
      </c>
      <c r="M84" s="56" t="s">
        <v>749</v>
      </c>
    </row>
    <row r="85" spans="1:13" ht="28.5" customHeight="1">
      <c r="A85" s="50">
        <v>3964</v>
      </c>
      <c r="B85" s="157" t="s">
        <v>611</v>
      </c>
      <c r="C85" s="155" t="s">
        <v>743</v>
      </c>
      <c r="D85" s="155" t="s">
        <v>679</v>
      </c>
      <c r="F85" s="56" t="s">
        <v>742</v>
      </c>
      <c r="G85" s="50" t="s">
        <v>583</v>
      </c>
      <c r="H85" s="56" t="s">
        <v>749</v>
      </c>
      <c r="I85" s="56">
        <v>500</v>
      </c>
      <c r="K85" s="56" t="s">
        <v>742</v>
      </c>
      <c r="L85" s="56" t="s">
        <v>583</v>
      </c>
      <c r="M85" s="56" t="s">
        <v>749</v>
      </c>
    </row>
    <row r="86" spans="1:13" ht="28.5" customHeight="1">
      <c r="A86" s="50">
        <v>1169</v>
      </c>
      <c r="B86" s="155" t="s">
        <v>584</v>
      </c>
      <c r="C86" s="155" t="s">
        <v>737</v>
      </c>
      <c r="D86" s="155" t="s">
        <v>679</v>
      </c>
      <c r="F86" s="56" t="s">
        <v>743</v>
      </c>
      <c r="G86" s="50" t="s">
        <v>611</v>
      </c>
      <c r="H86" s="56" t="s">
        <v>749</v>
      </c>
      <c r="I86" s="56">
        <v>1000</v>
      </c>
      <c r="K86" s="56" t="s">
        <v>743</v>
      </c>
      <c r="L86" s="56" t="s">
        <v>611</v>
      </c>
      <c r="M86" s="56" t="s">
        <v>749</v>
      </c>
    </row>
    <row r="87" spans="1:13" ht="28.5" customHeight="1">
      <c r="A87" s="50">
        <f>2842+3</f>
        <v>2845</v>
      </c>
      <c r="B87" s="157" t="s">
        <v>608</v>
      </c>
      <c r="C87" s="155" t="s">
        <v>745</v>
      </c>
      <c r="D87" s="155" t="s">
        <v>679</v>
      </c>
      <c r="F87" s="56" t="s">
        <v>737</v>
      </c>
      <c r="G87" s="50" t="s">
        <v>584</v>
      </c>
      <c r="H87" s="56" t="s">
        <v>749</v>
      </c>
      <c r="I87" s="56">
        <v>400</v>
      </c>
      <c r="K87" s="56" t="s">
        <v>737</v>
      </c>
      <c r="L87" s="56" t="s">
        <v>584</v>
      </c>
      <c r="M87" s="56" t="s">
        <v>749</v>
      </c>
    </row>
    <row r="88" spans="1:13" ht="28.5" customHeight="1">
      <c r="A88" s="50">
        <v>1978</v>
      </c>
      <c r="B88" s="155" t="s">
        <v>585</v>
      </c>
      <c r="C88" s="155" t="s">
        <v>739</v>
      </c>
      <c r="D88" s="155" t="s">
        <v>679</v>
      </c>
      <c r="F88" s="56" t="s">
        <v>745</v>
      </c>
      <c r="G88" s="50" t="s">
        <v>608</v>
      </c>
      <c r="H88" s="56" t="s">
        <v>749</v>
      </c>
      <c r="I88" s="56">
        <v>400</v>
      </c>
      <c r="K88" s="56" t="s">
        <v>745</v>
      </c>
      <c r="L88" s="56" t="s">
        <v>608</v>
      </c>
      <c r="M88" s="56" t="s">
        <v>749</v>
      </c>
    </row>
    <row r="89" spans="1:13" ht="28.5" customHeight="1">
      <c r="A89" s="158">
        <v>2088</v>
      </c>
      <c r="B89" s="157" t="s">
        <v>586</v>
      </c>
      <c r="C89" s="155" t="s">
        <v>744</v>
      </c>
      <c r="D89" s="155" t="s">
        <v>679</v>
      </c>
      <c r="F89" s="56" t="s">
        <v>739</v>
      </c>
      <c r="G89" s="50" t="s">
        <v>585</v>
      </c>
      <c r="H89" s="56" t="s">
        <v>749</v>
      </c>
      <c r="I89" s="56">
        <v>400</v>
      </c>
      <c r="K89" s="56" t="s">
        <v>739</v>
      </c>
      <c r="L89" s="56" t="s">
        <v>585</v>
      </c>
      <c r="M89" s="56" t="s">
        <v>749</v>
      </c>
    </row>
    <row r="90" spans="1:13" ht="28.5" customHeight="1">
      <c r="A90" s="50">
        <v>3785</v>
      </c>
      <c r="B90" s="155" t="s">
        <v>587</v>
      </c>
      <c r="C90" s="155" t="s">
        <v>746</v>
      </c>
      <c r="D90" s="155" t="s">
        <v>679</v>
      </c>
      <c r="F90" s="56" t="s">
        <v>744</v>
      </c>
      <c r="G90" s="50" t="s">
        <v>586</v>
      </c>
      <c r="H90" s="56" t="s">
        <v>749</v>
      </c>
      <c r="I90" s="56">
        <v>800</v>
      </c>
      <c r="K90" s="56" t="s">
        <v>744</v>
      </c>
      <c r="L90" s="56" t="s">
        <v>586</v>
      </c>
      <c r="M90" s="56" t="s">
        <v>749</v>
      </c>
    </row>
    <row r="91" spans="1:13" ht="28.5" customHeight="1">
      <c r="A91" s="50">
        <v>2181</v>
      </c>
      <c r="B91" s="157" t="s">
        <v>588</v>
      </c>
      <c r="C91" s="155" t="s">
        <v>726</v>
      </c>
      <c r="D91" s="155" t="s">
        <v>679</v>
      </c>
      <c r="F91" s="56" t="s">
        <v>746</v>
      </c>
      <c r="G91" s="50" t="s">
        <v>587</v>
      </c>
      <c r="H91" s="56" t="s">
        <v>749</v>
      </c>
      <c r="I91" s="56">
        <v>500</v>
      </c>
      <c r="K91" s="56" t="s">
        <v>746</v>
      </c>
      <c r="L91" s="56" t="s">
        <v>587</v>
      </c>
      <c r="M91" s="56" t="s">
        <v>749</v>
      </c>
    </row>
    <row r="92" spans="1:13" ht="28.5" customHeight="1">
      <c r="A92" s="50">
        <v>2724</v>
      </c>
      <c r="B92" s="155" t="s">
        <v>561</v>
      </c>
      <c r="C92" s="155" t="s">
        <v>692</v>
      </c>
      <c r="D92" s="155" t="s">
        <v>678</v>
      </c>
      <c r="F92" s="56" t="s">
        <v>726</v>
      </c>
      <c r="G92" s="50" t="s">
        <v>588</v>
      </c>
      <c r="H92" s="56" t="s">
        <v>749</v>
      </c>
      <c r="I92" s="56">
        <v>700</v>
      </c>
      <c r="K92" s="56" t="s">
        <v>726</v>
      </c>
      <c r="L92" s="56" t="s">
        <v>588</v>
      </c>
      <c r="M92" s="56" t="s">
        <v>749</v>
      </c>
    </row>
    <row r="93" spans="1:13" ht="14.25" customHeight="1">
      <c r="A93" s="50">
        <v>5783</v>
      </c>
      <c r="B93" s="155" t="s">
        <v>613</v>
      </c>
      <c r="C93" s="155" t="s">
        <v>693</v>
      </c>
      <c r="D93" s="155" t="s">
        <v>678</v>
      </c>
      <c r="F93" s="56" t="s">
        <v>692</v>
      </c>
      <c r="G93" s="50" t="s">
        <v>561</v>
      </c>
      <c r="H93" s="56" t="s">
        <v>678</v>
      </c>
      <c r="I93" s="56">
        <v>200</v>
      </c>
      <c r="K93" s="56" t="s">
        <v>692</v>
      </c>
      <c r="L93" s="56" t="s">
        <v>561</v>
      </c>
      <c r="M93" s="56" t="s">
        <v>678</v>
      </c>
    </row>
    <row r="94" spans="1:13" ht="14.25" customHeight="1">
      <c r="A94" s="50">
        <v>2871</v>
      </c>
      <c r="B94" s="155" t="s">
        <v>566</v>
      </c>
      <c r="C94" s="155" t="s">
        <v>694</v>
      </c>
      <c r="D94" s="155" t="s">
        <v>678</v>
      </c>
      <c r="F94" s="56" t="s">
        <v>693</v>
      </c>
      <c r="G94" s="50" t="s">
        <v>613</v>
      </c>
      <c r="H94" s="56" t="s">
        <v>678</v>
      </c>
      <c r="I94" s="56">
        <v>400</v>
      </c>
      <c r="K94" s="56" t="s">
        <v>693</v>
      </c>
      <c r="L94" s="56" t="s">
        <v>613</v>
      </c>
      <c r="M94" s="56" t="s">
        <v>678</v>
      </c>
    </row>
    <row r="95" spans="1:13" ht="14.25" customHeight="1">
      <c r="A95" s="50">
        <v>8017</v>
      </c>
      <c r="B95" s="155" t="s">
        <v>568</v>
      </c>
      <c r="C95" s="155" t="s">
        <v>695</v>
      </c>
      <c r="D95" s="155" t="s">
        <v>678</v>
      </c>
      <c r="F95" s="56" t="s">
        <v>694</v>
      </c>
      <c r="G95" s="50" t="s">
        <v>566</v>
      </c>
      <c r="H95" s="56" t="s">
        <v>678</v>
      </c>
      <c r="I95" s="56">
        <v>600</v>
      </c>
      <c r="K95" s="56" t="s">
        <v>694</v>
      </c>
      <c r="L95" s="56" t="s">
        <v>566</v>
      </c>
      <c r="M95" s="56" t="s">
        <v>678</v>
      </c>
    </row>
    <row r="96" spans="1:13" ht="14.25" customHeight="1">
      <c r="A96" s="50">
        <v>8540</v>
      </c>
      <c r="B96" s="155" t="s">
        <v>614</v>
      </c>
      <c r="C96" s="155" t="s">
        <v>696</v>
      </c>
      <c r="D96" s="155" t="s">
        <v>678</v>
      </c>
      <c r="F96" s="56" t="s">
        <v>695</v>
      </c>
      <c r="G96" s="50" t="s">
        <v>568</v>
      </c>
      <c r="H96" s="56" t="s">
        <v>678</v>
      </c>
      <c r="I96" s="56">
        <v>1120</v>
      </c>
      <c r="K96" s="56" t="s">
        <v>695</v>
      </c>
      <c r="L96" s="56" t="s">
        <v>568</v>
      </c>
      <c r="M96" s="56" t="s">
        <v>678</v>
      </c>
    </row>
    <row r="97" spans="1:13" ht="14.25" customHeight="1">
      <c r="A97" s="50">
        <v>9643</v>
      </c>
      <c r="B97" s="155" t="s">
        <v>573</v>
      </c>
      <c r="C97" s="155" t="s">
        <v>697</v>
      </c>
      <c r="D97" s="155" t="s">
        <v>678</v>
      </c>
      <c r="F97" s="56" t="s">
        <v>696</v>
      </c>
      <c r="G97" s="50" t="s">
        <v>614</v>
      </c>
      <c r="H97" s="56" t="s">
        <v>678</v>
      </c>
      <c r="I97" s="56">
        <v>1240</v>
      </c>
      <c r="K97" s="56" t="s">
        <v>696</v>
      </c>
      <c r="L97" s="56" t="s">
        <v>614</v>
      </c>
      <c r="M97" s="56" t="s">
        <v>678</v>
      </c>
    </row>
    <row r="98" spans="1:13" ht="14.25" customHeight="1">
      <c r="A98" s="50">
        <v>2902</v>
      </c>
      <c r="B98" s="155" t="s">
        <v>574</v>
      </c>
      <c r="C98" s="155" t="s">
        <v>698</v>
      </c>
      <c r="D98" s="155" t="s">
        <v>678</v>
      </c>
      <c r="F98" s="56" t="s">
        <v>697</v>
      </c>
      <c r="G98" s="50" t="s">
        <v>573</v>
      </c>
      <c r="H98" s="56" t="s">
        <v>678</v>
      </c>
      <c r="I98" s="56">
        <v>320</v>
      </c>
      <c r="K98" s="56" t="s">
        <v>697</v>
      </c>
      <c r="L98" s="56" t="s">
        <v>573</v>
      </c>
      <c r="M98" s="56" t="s">
        <v>678</v>
      </c>
    </row>
    <row r="99" spans="1:13" ht="14.25" customHeight="1">
      <c r="A99" s="50">
        <v>2709</v>
      </c>
      <c r="B99" s="155" t="s">
        <v>615</v>
      </c>
      <c r="C99" s="155" t="s">
        <v>699</v>
      </c>
      <c r="D99" s="155" t="s">
        <v>678</v>
      </c>
      <c r="F99" s="56" t="s">
        <v>698</v>
      </c>
      <c r="G99" s="50" t="s">
        <v>574</v>
      </c>
      <c r="H99" s="56" t="s">
        <v>678</v>
      </c>
      <c r="I99" s="56">
        <v>400</v>
      </c>
      <c r="K99" s="56" t="s">
        <v>698</v>
      </c>
      <c r="L99" s="56" t="s">
        <v>574</v>
      </c>
      <c r="M99" s="56" t="s">
        <v>678</v>
      </c>
    </row>
    <row r="100" spans="1:13" ht="14.25" customHeight="1">
      <c r="A100" s="50">
        <v>3259</v>
      </c>
      <c r="B100" s="155" t="s">
        <v>577</v>
      </c>
      <c r="C100" s="155" t="s">
        <v>700</v>
      </c>
      <c r="D100" s="155" t="s">
        <v>678</v>
      </c>
      <c r="F100" s="56" t="s">
        <v>699</v>
      </c>
      <c r="G100" s="50" t="s">
        <v>615</v>
      </c>
      <c r="H100" s="56" t="s">
        <v>678</v>
      </c>
      <c r="I100" s="56">
        <v>960</v>
      </c>
      <c r="K100" s="56" t="s">
        <v>699</v>
      </c>
      <c r="L100" s="56" t="s">
        <v>615</v>
      </c>
      <c r="M100" s="56" t="s">
        <v>678</v>
      </c>
    </row>
    <row r="101" spans="1:13" ht="14.25" customHeight="1">
      <c r="A101" s="50">
        <v>5309</v>
      </c>
      <c r="B101" s="155" t="s">
        <v>579</v>
      </c>
      <c r="C101" s="155" t="s">
        <v>701</v>
      </c>
      <c r="D101" s="155" t="s">
        <v>678</v>
      </c>
      <c r="F101" s="56" t="s">
        <v>700</v>
      </c>
      <c r="G101" s="50" t="s">
        <v>577</v>
      </c>
      <c r="H101" s="56" t="s">
        <v>678</v>
      </c>
      <c r="I101" s="56">
        <v>1640</v>
      </c>
      <c r="K101" s="56" t="s">
        <v>700</v>
      </c>
      <c r="L101" s="56" t="s">
        <v>577</v>
      </c>
      <c r="M101" s="56" t="s">
        <v>678</v>
      </c>
    </row>
    <row r="102" spans="1:13" ht="14.25" customHeight="1">
      <c r="A102" s="50">
        <v>2016</v>
      </c>
      <c r="B102" s="155" t="s">
        <v>582</v>
      </c>
      <c r="C102" s="155" t="s">
        <v>702</v>
      </c>
      <c r="D102" s="155" t="s">
        <v>678</v>
      </c>
      <c r="F102" s="56" t="s">
        <v>701</v>
      </c>
      <c r="G102" s="50" t="s">
        <v>579</v>
      </c>
      <c r="H102" s="56" t="s">
        <v>678</v>
      </c>
      <c r="I102" s="56">
        <v>1480</v>
      </c>
      <c r="K102" s="56" t="s">
        <v>701</v>
      </c>
      <c r="L102" s="56" t="s">
        <v>579</v>
      </c>
      <c r="M102" s="56" t="s">
        <v>678</v>
      </c>
    </row>
    <row r="103" spans="1:13" ht="14.25" customHeight="1">
      <c r="A103" s="50">
        <v>3519</v>
      </c>
      <c r="B103" s="155" t="s">
        <v>616</v>
      </c>
      <c r="C103" s="155" t="s">
        <v>703</v>
      </c>
      <c r="D103" s="155" t="s">
        <v>678</v>
      </c>
      <c r="F103" s="56" t="s">
        <v>702</v>
      </c>
      <c r="G103" s="50" t="s">
        <v>582</v>
      </c>
      <c r="H103" s="56" t="s">
        <v>678</v>
      </c>
      <c r="I103" s="56">
        <v>800</v>
      </c>
      <c r="K103" s="56" t="s">
        <v>702</v>
      </c>
      <c r="L103" s="56" t="s">
        <v>582</v>
      </c>
      <c r="M103" s="56" t="s">
        <v>678</v>
      </c>
    </row>
    <row r="104" spans="1:13" ht="14.25" customHeight="1">
      <c r="F104" s="56" t="s">
        <v>703</v>
      </c>
      <c r="G104" s="50" t="s">
        <v>616</v>
      </c>
      <c r="H104" s="56" t="s">
        <v>678</v>
      </c>
      <c r="I104" s="56">
        <v>320</v>
      </c>
      <c r="K104" s="56" t="s">
        <v>703</v>
      </c>
      <c r="L104" s="56" t="s">
        <v>616</v>
      </c>
      <c r="M104" s="56" t="s">
        <v>678</v>
      </c>
    </row>
    <row r="105" spans="1:13" ht="12" customHeight="1">
      <c r="G105" s="57"/>
    </row>
    <row r="106" spans="1:13" ht="12" customHeight="1">
      <c r="G106" s="57"/>
    </row>
    <row r="107" spans="1:13" ht="12" customHeight="1">
      <c r="G107" s="57"/>
    </row>
    <row r="108" spans="1:13" ht="12" customHeight="1">
      <c r="G108" s="57"/>
    </row>
    <row r="109" spans="1:13" ht="12" customHeight="1">
      <c r="G109" s="57"/>
    </row>
    <row r="110" spans="1:13" ht="12" customHeight="1">
      <c r="G110" s="57"/>
    </row>
    <row r="111" spans="1:13" ht="12" customHeight="1">
      <c r="G111" s="57"/>
    </row>
    <row r="112" spans="1:13" ht="12" customHeight="1">
      <c r="G112" s="57"/>
    </row>
    <row r="113" spans="7:7" ht="12" customHeight="1">
      <c r="G113" s="57"/>
    </row>
    <row r="114" spans="7:7" ht="12" customHeight="1">
      <c r="G114" s="57"/>
    </row>
    <row r="115" spans="7:7" ht="12" customHeight="1">
      <c r="G115" s="57"/>
    </row>
    <row r="116" spans="7:7" ht="12" customHeight="1">
      <c r="G116" s="57"/>
    </row>
    <row r="117" spans="7:7" ht="12" customHeight="1">
      <c r="G117" s="57"/>
    </row>
    <row r="118" spans="7:7" ht="12" customHeight="1">
      <c r="G118" s="57"/>
    </row>
    <row r="119" spans="7:7" ht="12" customHeight="1">
      <c r="G119" s="57"/>
    </row>
    <row r="120" spans="7:7" ht="12" customHeight="1">
      <c r="G120" s="57"/>
    </row>
    <row r="121" spans="7:7" ht="12" customHeight="1">
      <c r="G121" s="57"/>
    </row>
    <row r="122" spans="7:7" ht="12" customHeight="1">
      <c r="G122" s="57"/>
    </row>
    <row r="123" spans="7:7" ht="12" customHeight="1">
      <c r="G123" s="57"/>
    </row>
    <row r="124" spans="7:7" ht="12" customHeight="1">
      <c r="G124" s="57"/>
    </row>
    <row r="125" spans="7:7" ht="12" customHeight="1">
      <c r="G125" s="57"/>
    </row>
    <row r="126" spans="7:7" ht="12" customHeight="1">
      <c r="G126" s="57"/>
    </row>
    <row r="127" spans="7:7" ht="12" customHeight="1">
      <c r="G127" s="57"/>
    </row>
    <row r="128" spans="7:7" ht="12" customHeight="1">
      <c r="G128" s="57"/>
    </row>
    <row r="129" spans="7:7" ht="12" customHeight="1">
      <c r="G129" s="57"/>
    </row>
    <row r="130" spans="7:7" ht="12" customHeight="1">
      <c r="G130" s="57"/>
    </row>
    <row r="131" spans="7:7" ht="12" customHeight="1">
      <c r="G131" s="57"/>
    </row>
    <row r="132" spans="7:7" ht="12" customHeight="1">
      <c r="G132" s="57"/>
    </row>
    <row r="133" spans="7:7" ht="12" customHeight="1">
      <c r="G133" s="57"/>
    </row>
    <row r="134" spans="7:7" ht="12" customHeight="1">
      <c r="G134" s="57"/>
    </row>
    <row r="135" spans="7:7" ht="12" customHeight="1">
      <c r="G135" s="57"/>
    </row>
    <row r="136" spans="7:7" ht="12" customHeight="1">
      <c r="G136" s="57"/>
    </row>
    <row r="137" spans="7:7" ht="12" customHeight="1">
      <c r="G137" s="57"/>
    </row>
    <row r="138" spans="7:7" ht="12" customHeight="1">
      <c r="G138" s="57"/>
    </row>
    <row r="139" spans="7:7" ht="12" customHeight="1">
      <c r="G139" s="57"/>
    </row>
    <row r="140" spans="7:7" ht="12" customHeight="1">
      <c r="G140" s="57"/>
    </row>
    <row r="141" spans="7:7" ht="12" customHeight="1">
      <c r="G141" s="57"/>
    </row>
    <row r="142" spans="7:7" ht="12" customHeight="1">
      <c r="G142" s="57"/>
    </row>
    <row r="143" spans="7:7" ht="12" customHeight="1">
      <c r="G143" s="57"/>
    </row>
    <row r="144" spans="7:7" ht="12" customHeight="1">
      <c r="G144" s="57"/>
    </row>
    <row r="145" spans="7:7" ht="12" customHeight="1">
      <c r="G145" s="57"/>
    </row>
    <row r="146" spans="7:7" ht="12" customHeight="1">
      <c r="G146" s="57"/>
    </row>
    <row r="147" spans="7:7" ht="12" customHeight="1">
      <c r="G147" s="57"/>
    </row>
    <row r="148" spans="7:7" ht="12" customHeight="1">
      <c r="G148" s="57"/>
    </row>
    <row r="149" spans="7:7" ht="12" customHeight="1">
      <c r="G149" s="57"/>
    </row>
    <row r="150" spans="7:7" ht="12" customHeight="1">
      <c r="G150" s="57"/>
    </row>
    <row r="151" spans="7:7" ht="12" customHeight="1">
      <c r="G151" s="57"/>
    </row>
    <row r="152" spans="7:7" ht="12" customHeight="1">
      <c r="G152" s="57"/>
    </row>
    <row r="153" spans="7:7" ht="12" customHeight="1">
      <c r="G153" s="57"/>
    </row>
    <row r="154" spans="7:7" ht="12" customHeight="1">
      <c r="G154" s="57"/>
    </row>
    <row r="155" spans="7:7" ht="12" customHeight="1">
      <c r="G155" s="57"/>
    </row>
    <row r="156" spans="7:7" ht="12" customHeight="1">
      <c r="G156" s="57"/>
    </row>
    <row r="157" spans="7:7" ht="12" customHeight="1">
      <c r="G157" s="57"/>
    </row>
    <row r="158" spans="7:7" ht="12" customHeight="1">
      <c r="G158" s="57"/>
    </row>
    <row r="159" spans="7:7" ht="12" customHeight="1">
      <c r="G159" s="57"/>
    </row>
    <row r="160" spans="7:7" ht="12" customHeight="1">
      <c r="G160" s="57"/>
    </row>
    <row r="161" spans="7:7" ht="12" customHeight="1">
      <c r="G161" s="57"/>
    </row>
    <row r="162" spans="7:7" ht="12" customHeight="1">
      <c r="G162" s="57"/>
    </row>
    <row r="163" spans="7:7" ht="12" customHeight="1">
      <c r="G163" s="57"/>
    </row>
    <row r="164" spans="7:7" ht="12" customHeight="1">
      <c r="G164" s="57"/>
    </row>
    <row r="165" spans="7:7" ht="12" customHeight="1">
      <c r="G165" s="57"/>
    </row>
    <row r="166" spans="7:7" ht="12" customHeight="1">
      <c r="G166" s="57"/>
    </row>
    <row r="167" spans="7:7" ht="12" customHeight="1">
      <c r="G167" s="57"/>
    </row>
    <row r="168" spans="7:7" ht="12" customHeight="1">
      <c r="G168" s="57"/>
    </row>
    <row r="169" spans="7:7" ht="12" customHeight="1">
      <c r="G169" s="57"/>
    </row>
    <row r="170" spans="7:7" ht="12" customHeight="1">
      <c r="G170" s="57"/>
    </row>
    <row r="171" spans="7:7" ht="12" customHeight="1">
      <c r="G171" s="57"/>
    </row>
    <row r="172" spans="7:7" ht="12" customHeight="1">
      <c r="G172" s="57"/>
    </row>
    <row r="173" spans="7:7" ht="12" customHeight="1">
      <c r="G173" s="57"/>
    </row>
    <row r="174" spans="7:7" ht="12" customHeight="1">
      <c r="G174" s="57"/>
    </row>
    <row r="175" spans="7:7" ht="12" customHeight="1">
      <c r="G175" s="57"/>
    </row>
    <row r="176" spans="7:7" ht="12" customHeight="1">
      <c r="G176" s="57"/>
    </row>
    <row r="177" spans="7:7" ht="12" customHeight="1">
      <c r="G177" s="57"/>
    </row>
    <row r="178" spans="7:7" ht="12" customHeight="1">
      <c r="G178" s="57"/>
    </row>
    <row r="179" spans="7:7" ht="12" customHeight="1">
      <c r="G179" s="57"/>
    </row>
    <row r="180" spans="7:7" ht="12" customHeight="1">
      <c r="G180" s="57"/>
    </row>
    <row r="181" spans="7:7" ht="12" customHeight="1">
      <c r="G181" s="57"/>
    </row>
    <row r="182" spans="7:7" ht="12" customHeight="1">
      <c r="G182" s="57"/>
    </row>
    <row r="183" spans="7:7" ht="12" customHeight="1">
      <c r="G183" s="57"/>
    </row>
    <row r="184" spans="7:7" ht="12" customHeight="1">
      <c r="G184" s="57"/>
    </row>
    <row r="185" spans="7:7" ht="12" customHeight="1">
      <c r="G185" s="57"/>
    </row>
    <row r="186" spans="7:7" ht="12" customHeight="1">
      <c r="G186" s="57"/>
    </row>
    <row r="187" spans="7:7" ht="12" customHeight="1">
      <c r="G187" s="57"/>
    </row>
    <row r="188" spans="7:7" ht="12" customHeight="1">
      <c r="G188" s="57"/>
    </row>
    <row r="189" spans="7:7" ht="12" customHeight="1">
      <c r="G189" s="57"/>
    </row>
    <row r="190" spans="7:7" ht="12" customHeight="1">
      <c r="G190" s="57"/>
    </row>
    <row r="191" spans="7:7" ht="12" customHeight="1">
      <c r="G191" s="57"/>
    </row>
    <row r="192" spans="7:7" ht="12" customHeight="1">
      <c r="G192" s="57"/>
    </row>
    <row r="193" spans="7:7" ht="12" customHeight="1">
      <c r="G193" s="57"/>
    </row>
    <row r="194" spans="7:7" ht="12" customHeight="1">
      <c r="G194" s="57"/>
    </row>
    <row r="195" spans="7:7" ht="12" customHeight="1">
      <c r="G195" s="57"/>
    </row>
    <row r="196" spans="7:7" ht="12" customHeight="1">
      <c r="G196" s="57"/>
    </row>
    <row r="197" spans="7:7" ht="12" customHeight="1">
      <c r="G197" s="57"/>
    </row>
    <row r="198" spans="7:7" ht="12" customHeight="1">
      <c r="G198" s="57"/>
    </row>
    <row r="199" spans="7:7" ht="12" customHeight="1">
      <c r="G199" s="57"/>
    </row>
    <row r="200" spans="7:7" ht="12" customHeight="1">
      <c r="G200" s="57"/>
    </row>
    <row r="201" spans="7:7" ht="12" customHeight="1">
      <c r="G201" s="57"/>
    </row>
    <row r="202" spans="7:7" ht="12" customHeight="1">
      <c r="G202" s="57"/>
    </row>
    <row r="203" spans="7:7" ht="12" customHeight="1">
      <c r="G203" s="57"/>
    </row>
    <row r="204" spans="7:7" ht="12" customHeight="1">
      <c r="G204" s="57"/>
    </row>
    <row r="205" spans="7:7" ht="12" customHeight="1">
      <c r="G205" s="57"/>
    </row>
    <row r="206" spans="7:7" ht="12" customHeight="1">
      <c r="G206" s="57"/>
    </row>
    <row r="207" spans="7:7" ht="12" customHeight="1">
      <c r="G207" s="57"/>
    </row>
    <row r="208" spans="7:7" ht="12" customHeight="1">
      <c r="G208" s="57"/>
    </row>
    <row r="209" spans="7:7" ht="12" customHeight="1">
      <c r="G209" s="57"/>
    </row>
    <row r="210" spans="7:7" ht="12" customHeight="1">
      <c r="G210" s="57"/>
    </row>
    <row r="211" spans="7:7" ht="12" customHeight="1">
      <c r="G211" s="57"/>
    </row>
    <row r="212" spans="7:7" ht="12" customHeight="1">
      <c r="G212" s="57"/>
    </row>
    <row r="213" spans="7:7" ht="12" customHeight="1">
      <c r="G213" s="57"/>
    </row>
    <row r="214" spans="7:7" ht="12" customHeight="1">
      <c r="G214" s="57"/>
    </row>
    <row r="215" spans="7:7" ht="12" customHeight="1">
      <c r="G215" s="57"/>
    </row>
    <row r="216" spans="7:7" ht="12" customHeight="1">
      <c r="G216" s="57"/>
    </row>
    <row r="217" spans="7:7" ht="12" customHeight="1">
      <c r="G217" s="57"/>
    </row>
    <row r="218" spans="7:7" ht="12" customHeight="1">
      <c r="G218" s="57"/>
    </row>
    <row r="219" spans="7:7" ht="12" customHeight="1">
      <c r="G219" s="57"/>
    </row>
    <row r="220" spans="7:7" ht="12" customHeight="1">
      <c r="G220" s="57"/>
    </row>
    <row r="221" spans="7:7" ht="12" customHeight="1">
      <c r="G221" s="57"/>
    </row>
    <row r="222" spans="7:7" ht="12" customHeight="1">
      <c r="G222" s="57"/>
    </row>
    <row r="223" spans="7:7" ht="12" customHeight="1">
      <c r="G223" s="57"/>
    </row>
    <row r="224" spans="7:7" ht="12" customHeight="1">
      <c r="G224" s="57"/>
    </row>
    <row r="225" spans="7:7" ht="12" customHeight="1">
      <c r="G225" s="57"/>
    </row>
    <row r="226" spans="7:7" ht="12" customHeight="1">
      <c r="G226" s="57"/>
    </row>
    <row r="227" spans="7:7" ht="12" customHeight="1">
      <c r="G227" s="57"/>
    </row>
    <row r="228" spans="7:7" ht="12" customHeight="1">
      <c r="G228" s="57"/>
    </row>
    <row r="229" spans="7:7" ht="12" customHeight="1">
      <c r="G229" s="57"/>
    </row>
    <row r="230" spans="7:7" ht="12" customHeight="1">
      <c r="G230" s="57"/>
    </row>
    <row r="231" spans="7:7" ht="12" customHeight="1">
      <c r="G231" s="57"/>
    </row>
    <row r="232" spans="7:7" ht="12" customHeight="1">
      <c r="G232" s="57"/>
    </row>
    <row r="233" spans="7:7" ht="12" customHeight="1">
      <c r="G233" s="57"/>
    </row>
    <row r="234" spans="7:7" ht="12" customHeight="1">
      <c r="G234" s="57"/>
    </row>
    <row r="235" spans="7:7" ht="12" customHeight="1">
      <c r="G235" s="57"/>
    </row>
    <row r="236" spans="7:7" ht="12" customHeight="1">
      <c r="G236" s="57"/>
    </row>
    <row r="237" spans="7:7" ht="12" customHeight="1">
      <c r="G237" s="57"/>
    </row>
    <row r="238" spans="7:7" ht="12" customHeight="1">
      <c r="G238" s="57"/>
    </row>
    <row r="239" spans="7:7" ht="12" customHeight="1">
      <c r="G239" s="57"/>
    </row>
    <row r="240" spans="7:7" ht="12" customHeight="1">
      <c r="G240" s="57"/>
    </row>
    <row r="241" spans="7:7" ht="12" customHeight="1">
      <c r="G241" s="57"/>
    </row>
    <row r="242" spans="7:7" ht="12" customHeight="1">
      <c r="G242" s="57"/>
    </row>
    <row r="243" spans="7:7" ht="12" customHeight="1">
      <c r="G243" s="57"/>
    </row>
    <row r="244" spans="7:7" ht="12" customHeight="1">
      <c r="G244" s="57"/>
    </row>
    <row r="245" spans="7:7" ht="12" customHeight="1">
      <c r="G245" s="57"/>
    </row>
    <row r="246" spans="7:7" ht="12" customHeight="1">
      <c r="G246" s="57"/>
    </row>
    <row r="247" spans="7:7" ht="12" customHeight="1">
      <c r="G247" s="57"/>
    </row>
    <row r="248" spans="7:7" ht="12" customHeight="1">
      <c r="G248" s="57"/>
    </row>
    <row r="249" spans="7:7" ht="12" customHeight="1">
      <c r="G249" s="57"/>
    </row>
    <row r="250" spans="7:7" ht="12" customHeight="1">
      <c r="G250" s="57"/>
    </row>
    <row r="251" spans="7:7" ht="12" customHeight="1">
      <c r="G251" s="57"/>
    </row>
    <row r="252" spans="7:7" ht="12" customHeight="1">
      <c r="G252" s="57"/>
    </row>
    <row r="253" spans="7:7" ht="12" customHeight="1">
      <c r="G253" s="57"/>
    </row>
    <row r="254" spans="7:7" ht="12" customHeight="1">
      <c r="G254" s="57"/>
    </row>
    <row r="255" spans="7:7" ht="12" customHeight="1">
      <c r="G255" s="57"/>
    </row>
    <row r="256" spans="7:7" ht="12" customHeight="1">
      <c r="G256" s="57"/>
    </row>
    <row r="257" spans="7:7" ht="12" customHeight="1">
      <c r="G257" s="57"/>
    </row>
    <row r="258" spans="7:7" ht="12" customHeight="1">
      <c r="G258" s="57"/>
    </row>
    <row r="259" spans="7:7" ht="12" customHeight="1">
      <c r="G259" s="57"/>
    </row>
    <row r="260" spans="7:7" ht="12" customHeight="1">
      <c r="G260" s="57"/>
    </row>
    <row r="261" spans="7:7" ht="12" customHeight="1">
      <c r="G261" s="57"/>
    </row>
    <row r="262" spans="7:7" ht="12" customHeight="1">
      <c r="G262" s="57"/>
    </row>
    <row r="263" spans="7:7" ht="12" customHeight="1">
      <c r="G263" s="57"/>
    </row>
    <row r="264" spans="7:7" ht="12" customHeight="1">
      <c r="G264" s="57"/>
    </row>
    <row r="265" spans="7:7" ht="12" customHeight="1">
      <c r="G265" s="57"/>
    </row>
    <row r="266" spans="7:7" ht="12" customHeight="1">
      <c r="G266" s="57"/>
    </row>
    <row r="267" spans="7:7" ht="12" customHeight="1">
      <c r="G267" s="57"/>
    </row>
    <row r="268" spans="7:7" ht="12" customHeight="1">
      <c r="G268" s="57"/>
    </row>
    <row r="269" spans="7:7" ht="12" customHeight="1">
      <c r="G269" s="57"/>
    </row>
    <row r="270" spans="7:7" ht="12" customHeight="1">
      <c r="G270" s="57"/>
    </row>
    <row r="271" spans="7:7" ht="12" customHeight="1">
      <c r="G271" s="57"/>
    </row>
    <row r="272" spans="7:7" ht="12" customHeight="1">
      <c r="G272" s="57"/>
    </row>
    <row r="273" spans="7:7" ht="12" customHeight="1">
      <c r="G273" s="57"/>
    </row>
    <row r="274" spans="7:7" ht="12" customHeight="1">
      <c r="G274" s="57"/>
    </row>
    <row r="275" spans="7:7" ht="12" customHeight="1">
      <c r="G275" s="57"/>
    </row>
    <row r="276" spans="7:7" ht="12" customHeight="1">
      <c r="G276" s="57"/>
    </row>
    <row r="277" spans="7:7" ht="12" customHeight="1">
      <c r="G277" s="57"/>
    </row>
    <row r="278" spans="7:7" ht="12" customHeight="1">
      <c r="G278" s="57"/>
    </row>
    <row r="279" spans="7:7" ht="12" customHeight="1">
      <c r="G279" s="57"/>
    </row>
    <row r="280" spans="7:7" ht="12" customHeight="1">
      <c r="G280" s="57"/>
    </row>
    <row r="281" spans="7:7" ht="12" customHeight="1">
      <c r="G281" s="57"/>
    </row>
    <row r="282" spans="7:7" ht="12" customHeight="1">
      <c r="G282" s="57"/>
    </row>
    <row r="283" spans="7:7" ht="12" customHeight="1">
      <c r="G283" s="57"/>
    </row>
    <row r="284" spans="7:7" ht="12" customHeight="1">
      <c r="G284" s="57"/>
    </row>
    <row r="285" spans="7:7" ht="12" customHeight="1">
      <c r="G285" s="57"/>
    </row>
    <row r="286" spans="7:7" ht="12" customHeight="1">
      <c r="G286" s="57"/>
    </row>
    <row r="287" spans="7:7" ht="12" customHeight="1">
      <c r="G287" s="57"/>
    </row>
    <row r="288" spans="7:7" ht="12" customHeight="1">
      <c r="G288" s="57"/>
    </row>
    <row r="289" spans="7:7" ht="12" customHeight="1">
      <c r="G289" s="57"/>
    </row>
    <row r="290" spans="7:7" ht="12" customHeight="1">
      <c r="G290" s="57"/>
    </row>
    <row r="291" spans="7:7" ht="12" customHeight="1">
      <c r="G291" s="57"/>
    </row>
    <row r="292" spans="7:7" ht="12" customHeight="1">
      <c r="G292" s="57"/>
    </row>
    <row r="293" spans="7:7" ht="12" customHeight="1">
      <c r="G293" s="57"/>
    </row>
    <row r="294" spans="7:7" ht="12" customHeight="1">
      <c r="G294" s="57"/>
    </row>
    <row r="295" spans="7:7" ht="12" customHeight="1">
      <c r="G295" s="57"/>
    </row>
    <row r="296" spans="7:7" ht="12" customHeight="1">
      <c r="G296" s="57"/>
    </row>
    <row r="297" spans="7:7" ht="12" customHeight="1">
      <c r="G297" s="57"/>
    </row>
    <row r="298" spans="7:7" ht="12" customHeight="1">
      <c r="G298" s="57"/>
    </row>
    <row r="299" spans="7:7" ht="12" customHeight="1">
      <c r="G299" s="57"/>
    </row>
    <row r="300" spans="7:7" ht="12" customHeight="1">
      <c r="G300" s="57"/>
    </row>
    <row r="301" spans="7:7" ht="12" customHeight="1">
      <c r="G301" s="57"/>
    </row>
    <row r="302" spans="7:7" ht="12" customHeight="1">
      <c r="G302" s="57"/>
    </row>
    <row r="303" spans="7:7" ht="12" customHeight="1">
      <c r="G303" s="57"/>
    </row>
    <row r="304" spans="7:7" ht="12" customHeight="1">
      <c r="G304" s="57"/>
    </row>
    <row r="305" spans="7:7" ht="12" customHeight="1">
      <c r="G305" s="57"/>
    </row>
    <row r="306" spans="7:7" ht="12" customHeight="1">
      <c r="G306" s="57"/>
    </row>
    <row r="307" spans="7:7" ht="12" customHeight="1">
      <c r="G307" s="57"/>
    </row>
    <row r="308" spans="7:7" ht="12" customHeight="1">
      <c r="G308" s="57"/>
    </row>
    <row r="309" spans="7:7" ht="12" customHeight="1">
      <c r="G309" s="57"/>
    </row>
    <row r="310" spans="7:7" ht="12" customHeight="1">
      <c r="G310" s="57"/>
    </row>
    <row r="311" spans="7:7" ht="12" customHeight="1">
      <c r="G311" s="57"/>
    </row>
    <row r="312" spans="7:7" ht="12" customHeight="1">
      <c r="G312" s="57"/>
    </row>
    <row r="313" spans="7:7" ht="12" customHeight="1">
      <c r="G313" s="57"/>
    </row>
    <row r="314" spans="7:7" ht="12" customHeight="1">
      <c r="G314" s="57"/>
    </row>
    <row r="315" spans="7:7" ht="12" customHeight="1">
      <c r="G315" s="57"/>
    </row>
    <row r="316" spans="7:7" ht="12" customHeight="1">
      <c r="G316" s="57"/>
    </row>
    <row r="317" spans="7:7" ht="12" customHeight="1">
      <c r="G317" s="57"/>
    </row>
    <row r="318" spans="7:7" ht="12" customHeight="1">
      <c r="G318" s="57"/>
    </row>
    <row r="319" spans="7:7" ht="12" customHeight="1">
      <c r="G319" s="57"/>
    </row>
    <row r="320" spans="7:7" ht="12" customHeight="1">
      <c r="G320" s="57"/>
    </row>
    <row r="321" spans="7:7" ht="12" customHeight="1">
      <c r="G321" s="57"/>
    </row>
    <row r="322" spans="7:7" ht="12" customHeight="1">
      <c r="G322" s="57"/>
    </row>
    <row r="323" spans="7:7" ht="12" customHeight="1">
      <c r="G323" s="57"/>
    </row>
    <row r="324" spans="7:7" ht="12" customHeight="1">
      <c r="G324" s="57"/>
    </row>
    <row r="325" spans="7:7" ht="12" customHeight="1">
      <c r="G325" s="57"/>
    </row>
    <row r="326" spans="7:7" ht="12" customHeight="1">
      <c r="G326" s="57"/>
    </row>
    <row r="327" spans="7:7" ht="12" customHeight="1">
      <c r="G327" s="57"/>
    </row>
    <row r="328" spans="7:7" ht="12" customHeight="1">
      <c r="G328" s="57"/>
    </row>
    <row r="329" spans="7:7" ht="12" customHeight="1">
      <c r="G329" s="57"/>
    </row>
    <row r="330" spans="7:7" ht="12" customHeight="1">
      <c r="G330" s="57"/>
    </row>
    <row r="331" spans="7:7" ht="12" customHeight="1">
      <c r="G331" s="57"/>
    </row>
    <row r="332" spans="7:7" ht="12" customHeight="1">
      <c r="G332" s="57"/>
    </row>
    <row r="333" spans="7:7" ht="12" customHeight="1">
      <c r="G333" s="57"/>
    </row>
    <row r="334" spans="7:7" ht="12" customHeight="1">
      <c r="G334" s="57"/>
    </row>
    <row r="335" spans="7:7" ht="12" customHeight="1">
      <c r="G335" s="57"/>
    </row>
    <row r="336" spans="7:7" ht="12" customHeight="1">
      <c r="G336" s="57"/>
    </row>
    <row r="337" spans="7:7" ht="12" customHeight="1">
      <c r="G337" s="57"/>
    </row>
    <row r="338" spans="7:7" ht="12" customHeight="1">
      <c r="G338" s="57"/>
    </row>
    <row r="339" spans="7:7" ht="12" customHeight="1">
      <c r="G339" s="57"/>
    </row>
    <row r="340" spans="7:7" ht="12" customHeight="1">
      <c r="G340" s="57"/>
    </row>
    <row r="341" spans="7:7" ht="12" customHeight="1">
      <c r="G341" s="57"/>
    </row>
    <row r="342" spans="7:7" ht="12" customHeight="1">
      <c r="G342" s="57"/>
    </row>
    <row r="343" spans="7:7" ht="12" customHeight="1">
      <c r="G343" s="57"/>
    </row>
    <row r="344" spans="7:7" ht="12" customHeight="1">
      <c r="G344" s="57"/>
    </row>
    <row r="345" spans="7:7" ht="12" customHeight="1">
      <c r="G345" s="57"/>
    </row>
    <row r="346" spans="7:7" ht="12" customHeight="1">
      <c r="G346" s="57"/>
    </row>
    <row r="347" spans="7:7" ht="12" customHeight="1">
      <c r="G347" s="57"/>
    </row>
    <row r="348" spans="7:7" ht="12" customHeight="1">
      <c r="G348" s="57"/>
    </row>
    <row r="349" spans="7:7" ht="12" customHeight="1">
      <c r="G349" s="57"/>
    </row>
    <row r="350" spans="7:7" ht="12" customHeight="1">
      <c r="G350" s="57"/>
    </row>
    <row r="351" spans="7:7" ht="12" customHeight="1">
      <c r="G351" s="57"/>
    </row>
    <row r="352" spans="7:7" ht="12" customHeight="1">
      <c r="G352" s="57"/>
    </row>
    <row r="353" spans="7:7" ht="12" customHeight="1">
      <c r="G353" s="57"/>
    </row>
    <row r="354" spans="7:7" ht="12" customHeight="1">
      <c r="G354" s="57"/>
    </row>
    <row r="355" spans="7:7" ht="12" customHeight="1">
      <c r="G355" s="57"/>
    </row>
    <row r="356" spans="7:7" ht="12" customHeight="1">
      <c r="G356" s="57"/>
    </row>
    <row r="357" spans="7:7" ht="12" customHeight="1">
      <c r="G357" s="57"/>
    </row>
    <row r="358" spans="7:7" ht="12" customHeight="1">
      <c r="G358" s="57"/>
    </row>
    <row r="359" spans="7:7" ht="12" customHeight="1">
      <c r="G359" s="57"/>
    </row>
    <row r="360" spans="7:7" ht="12" customHeight="1">
      <c r="G360" s="57"/>
    </row>
    <row r="361" spans="7:7" ht="12" customHeight="1">
      <c r="G361" s="57"/>
    </row>
    <row r="362" spans="7:7" ht="12" customHeight="1">
      <c r="G362" s="57"/>
    </row>
    <row r="363" spans="7:7" ht="12" customHeight="1">
      <c r="G363" s="57"/>
    </row>
    <row r="364" spans="7:7" ht="12" customHeight="1">
      <c r="G364" s="57"/>
    </row>
    <row r="365" spans="7:7" ht="12" customHeight="1">
      <c r="G365" s="57"/>
    </row>
    <row r="366" spans="7:7" ht="12" customHeight="1">
      <c r="G366" s="57"/>
    </row>
    <row r="367" spans="7:7" ht="12" customHeight="1">
      <c r="G367" s="57"/>
    </row>
    <row r="368" spans="7:7" ht="12" customHeight="1">
      <c r="G368" s="57"/>
    </row>
    <row r="369" spans="7:7" ht="12" customHeight="1">
      <c r="G369" s="57"/>
    </row>
    <row r="370" spans="7:7" ht="12" customHeight="1">
      <c r="G370" s="57"/>
    </row>
    <row r="371" spans="7:7" ht="12" customHeight="1">
      <c r="G371" s="57"/>
    </row>
    <row r="372" spans="7:7" ht="12" customHeight="1">
      <c r="G372" s="57"/>
    </row>
    <row r="373" spans="7:7" ht="12" customHeight="1">
      <c r="G373" s="57"/>
    </row>
    <row r="374" spans="7:7" ht="12" customHeight="1">
      <c r="G374" s="57"/>
    </row>
    <row r="375" spans="7:7" ht="12" customHeight="1">
      <c r="G375" s="57"/>
    </row>
    <row r="376" spans="7:7" ht="12" customHeight="1">
      <c r="G376" s="57"/>
    </row>
    <row r="377" spans="7:7" ht="12" customHeight="1">
      <c r="G377" s="57"/>
    </row>
    <row r="378" spans="7:7" ht="12" customHeight="1">
      <c r="G378" s="57"/>
    </row>
    <row r="379" spans="7:7" ht="12" customHeight="1">
      <c r="G379" s="57"/>
    </row>
    <row r="380" spans="7:7" ht="12" customHeight="1">
      <c r="G380" s="57"/>
    </row>
    <row r="381" spans="7:7" ht="12" customHeight="1">
      <c r="G381" s="57"/>
    </row>
    <row r="382" spans="7:7" ht="12" customHeight="1">
      <c r="G382" s="57"/>
    </row>
    <row r="383" spans="7:7" ht="12" customHeight="1">
      <c r="G383" s="57"/>
    </row>
    <row r="384" spans="7:7" ht="12" customHeight="1">
      <c r="G384" s="57"/>
    </row>
    <row r="385" spans="7:7" ht="12" customHeight="1">
      <c r="G385" s="57"/>
    </row>
    <row r="386" spans="7:7" ht="12" customHeight="1">
      <c r="G386" s="57"/>
    </row>
    <row r="387" spans="7:7" ht="12" customHeight="1">
      <c r="G387" s="57"/>
    </row>
    <row r="388" spans="7:7" ht="12" customHeight="1">
      <c r="G388" s="57"/>
    </row>
    <row r="389" spans="7:7" ht="12" customHeight="1">
      <c r="G389" s="57"/>
    </row>
    <row r="390" spans="7:7" ht="12" customHeight="1">
      <c r="G390" s="57"/>
    </row>
    <row r="391" spans="7:7" ht="12" customHeight="1">
      <c r="G391" s="57"/>
    </row>
    <row r="392" spans="7:7" ht="12" customHeight="1">
      <c r="G392" s="57"/>
    </row>
    <row r="393" spans="7:7" ht="12" customHeight="1">
      <c r="G393" s="57"/>
    </row>
    <row r="394" spans="7:7" ht="12" customHeight="1">
      <c r="G394" s="57"/>
    </row>
    <row r="395" spans="7:7" ht="12" customHeight="1">
      <c r="G395" s="57"/>
    </row>
    <row r="396" spans="7:7" ht="12" customHeight="1">
      <c r="G396" s="57"/>
    </row>
    <row r="397" spans="7:7" ht="12" customHeight="1">
      <c r="G397" s="57"/>
    </row>
    <row r="398" spans="7:7" ht="12" customHeight="1">
      <c r="G398" s="57"/>
    </row>
    <row r="399" spans="7:7" ht="12" customHeight="1">
      <c r="G399" s="57"/>
    </row>
    <row r="400" spans="7:7" ht="12" customHeight="1">
      <c r="G400" s="57"/>
    </row>
    <row r="401" spans="7:7" ht="12" customHeight="1">
      <c r="G401" s="57"/>
    </row>
    <row r="402" spans="7:7" ht="12" customHeight="1">
      <c r="G402" s="57"/>
    </row>
    <row r="403" spans="7:7" ht="12" customHeight="1">
      <c r="G403" s="57"/>
    </row>
    <row r="404" spans="7:7" ht="12" customHeight="1">
      <c r="G404" s="57"/>
    </row>
    <row r="405" spans="7:7" ht="12" customHeight="1">
      <c r="G405" s="57"/>
    </row>
    <row r="406" spans="7:7" ht="12" customHeight="1">
      <c r="G406" s="57"/>
    </row>
    <row r="407" spans="7:7" ht="12" customHeight="1">
      <c r="G407" s="57"/>
    </row>
    <row r="408" spans="7:7" ht="12" customHeight="1">
      <c r="G408" s="57"/>
    </row>
    <row r="409" spans="7:7" ht="12" customHeight="1">
      <c r="G409" s="57"/>
    </row>
    <row r="410" spans="7:7" ht="12" customHeight="1">
      <c r="G410" s="57"/>
    </row>
    <row r="411" spans="7:7" ht="12" customHeight="1">
      <c r="G411" s="57"/>
    </row>
    <row r="412" spans="7:7" ht="12" customHeight="1">
      <c r="G412" s="57"/>
    </row>
    <row r="413" spans="7:7" ht="12" customHeight="1">
      <c r="G413" s="57"/>
    </row>
    <row r="414" spans="7:7" ht="12" customHeight="1">
      <c r="G414" s="57"/>
    </row>
    <row r="415" spans="7:7" ht="12" customHeight="1">
      <c r="G415" s="57"/>
    </row>
    <row r="416" spans="7:7" ht="12" customHeight="1">
      <c r="G416" s="57"/>
    </row>
    <row r="417" spans="7:7" ht="12" customHeight="1">
      <c r="G417" s="57"/>
    </row>
    <row r="418" spans="7:7" ht="12" customHeight="1">
      <c r="G418" s="57"/>
    </row>
    <row r="419" spans="7:7" ht="12" customHeight="1">
      <c r="G419" s="57"/>
    </row>
    <row r="420" spans="7:7" ht="12" customHeight="1">
      <c r="G420" s="57"/>
    </row>
    <row r="421" spans="7:7" ht="12" customHeight="1">
      <c r="G421" s="57"/>
    </row>
    <row r="422" spans="7:7" ht="12" customHeight="1">
      <c r="G422" s="57"/>
    </row>
    <row r="423" spans="7:7" ht="12" customHeight="1">
      <c r="G423" s="57"/>
    </row>
    <row r="424" spans="7:7" ht="12" customHeight="1">
      <c r="G424" s="57"/>
    </row>
    <row r="425" spans="7:7" ht="12" customHeight="1">
      <c r="G425" s="57"/>
    </row>
    <row r="426" spans="7:7" ht="12" customHeight="1">
      <c r="G426" s="57"/>
    </row>
    <row r="427" spans="7:7" ht="12" customHeight="1">
      <c r="G427" s="57"/>
    </row>
    <row r="428" spans="7:7" ht="12" customHeight="1">
      <c r="G428" s="57"/>
    </row>
    <row r="429" spans="7:7" ht="12" customHeight="1">
      <c r="G429" s="57"/>
    </row>
    <row r="430" spans="7:7" ht="12" customHeight="1">
      <c r="G430" s="57"/>
    </row>
    <row r="431" spans="7:7" ht="12" customHeight="1">
      <c r="G431" s="57"/>
    </row>
    <row r="432" spans="7:7" ht="12" customHeight="1">
      <c r="G432" s="57"/>
    </row>
    <row r="433" spans="7:7" ht="12" customHeight="1">
      <c r="G433" s="57"/>
    </row>
    <row r="434" spans="7:7" ht="12" customHeight="1">
      <c r="G434" s="57"/>
    </row>
    <row r="435" spans="7:7" ht="12" customHeight="1">
      <c r="G435" s="57"/>
    </row>
    <row r="436" spans="7:7" ht="12" customHeight="1">
      <c r="G436" s="57"/>
    </row>
    <row r="437" spans="7:7" ht="12" customHeight="1">
      <c r="G437" s="57"/>
    </row>
    <row r="438" spans="7:7" ht="12" customHeight="1">
      <c r="G438" s="57"/>
    </row>
    <row r="439" spans="7:7" ht="12" customHeight="1">
      <c r="G439" s="57"/>
    </row>
    <row r="440" spans="7:7" ht="12" customHeight="1">
      <c r="G440" s="57"/>
    </row>
    <row r="441" spans="7:7" ht="12" customHeight="1">
      <c r="G441" s="57"/>
    </row>
    <row r="442" spans="7:7" ht="12" customHeight="1">
      <c r="G442" s="57"/>
    </row>
    <row r="443" spans="7:7" ht="12" customHeight="1">
      <c r="G443" s="57"/>
    </row>
    <row r="444" spans="7:7" ht="12" customHeight="1">
      <c r="G444" s="57"/>
    </row>
    <row r="445" spans="7:7" ht="12" customHeight="1">
      <c r="G445" s="57"/>
    </row>
    <row r="446" spans="7:7" ht="12" customHeight="1">
      <c r="G446" s="57"/>
    </row>
    <row r="447" spans="7:7" ht="12" customHeight="1">
      <c r="G447" s="57"/>
    </row>
    <row r="448" spans="7:7" ht="12" customHeight="1">
      <c r="G448" s="57"/>
    </row>
    <row r="449" spans="7:7" ht="12" customHeight="1">
      <c r="G449" s="57"/>
    </row>
    <row r="450" spans="7:7" ht="12" customHeight="1">
      <c r="G450" s="57"/>
    </row>
    <row r="451" spans="7:7" ht="12" customHeight="1">
      <c r="G451" s="57"/>
    </row>
    <row r="452" spans="7:7" ht="12" customHeight="1">
      <c r="G452" s="57"/>
    </row>
    <row r="453" spans="7:7" ht="12" customHeight="1">
      <c r="G453" s="57"/>
    </row>
    <row r="454" spans="7:7" ht="12" customHeight="1">
      <c r="G454" s="57"/>
    </row>
    <row r="455" spans="7:7" ht="12" customHeight="1">
      <c r="G455" s="57"/>
    </row>
    <row r="456" spans="7:7" ht="12" customHeight="1">
      <c r="G456" s="57"/>
    </row>
    <row r="457" spans="7:7" ht="12" customHeight="1">
      <c r="G457" s="57"/>
    </row>
    <row r="458" spans="7:7" ht="12" customHeight="1">
      <c r="G458" s="57"/>
    </row>
    <row r="459" spans="7:7" ht="12" customHeight="1">
      <c r="G459" s="57"/>
    </row>
    <row r="460" spans="7:7" ht="12" customHeight="1">
      <c r="G460" s="57"/>
    </row>
    <row r="461" spans="7:7" ht="12" customHeight="1">
      <c r="G461" s="57"/>
    </row>
    <row r="462" spans="7:7" ht="12" customHeight="1">
      <c r="G462" s="57"/>
    </row>
    <row r="463" spans="7:7" ht="12" customHeight="1">
      <c r="G463" s="57"/>
    </row>
    <row r="464" spans="7:7" ht="12" customHeight="1">
      <c r="G464" s="57"/>
    </row>
    <row r="465" spans="7:7" ht="12" customHeight="1">
      <c r="G465" s="57"/>
    </row>
    <row r="466" spans="7:7" ht="12" customHeight="1">
      <c r="G466" s="57"/>
    </row>
    <row r="467" spans="7:7" ht="12" customHeight="1">
      <c r="G467" s="57"/>
    </row>
    <row r="468" spans="7:7" ht="12" customHeight="1">
      <c r="G468" s="57"/>
    </row>
    <row r="469" spans="7:7" ht="12" customHeight="1">
      <c r="G469" s="57"/>
    </row>
    <row r="470" spans="7:7" ht="12" customHeight="1">
      <c r="G470" s="57"/>
    </row>
    <row r="471" spans="7:7" ht="12" customHeight="1">
      <c r="G471" s="57"/>
    </row>
    <row r="472" spans="7:7" ht="12" customHeight="1">
      <c r="G472" s="57"/>
    </row>
    <row r="473" spans="7:7" ht="12" customHeight="1">
      <c r="G473" s="57"/>
    </row>
    <row r="474" spans="7:7" ht="12" customHeight="1">
      <c r="G474" s="57"/>
    </row>
    <row r="475" spans="7:7" ht="12" customHeight="1">
      <c r="G475" s="57"/>
    </row>
    <row r="476" spans="7:7" ht="12" customHeight="1">
      <c r="G476" s="57"/>
    </row>
    <row r="477" spans="7:7" ht="12" customHeight="1">
      <c r="G477" s="57"/>
    </row>
    <row r="478" spans="7:7" ht="12" customHeight="1">
      <c r="G478" s="57"/>
    </row>
    <row r="479" spans="7:7" ht="12" customHeight="1">
      <c r="G479" s="57"/>
    </row>
    <row r="480" spans="7:7" ht="12" customHeight="1">
      <c r="G480" s="57"/>
    </row>
    <row r="481" spans="7:7" ht="12" customHeight="1">
      <c r="G481" s="57"/>
    </row>
    <row r="482" spans="7:7" ht="12" customHeight="1">
      <c r="G482" s="57"/>
    </row>
    <row r="483" spans="7:7" ht="12" customHeight="1">
      <c r="G483" s="57"/>
    </row>
    <row r="484" spans="7:7" ht="12" customHeight="1">
      <c r="G484" s="57"/>
    </row>
    <row r="485" spans="7:7" ht="12" customHeight="1">
      <c r="G485" s="57"/>
    </row>
    <row r="486" spans="7:7" ht="12" customHeight="1">
      <c r="G486" s="57"/>
    </row>
    <row r="487" spans="7:7" ht="12" customHeight="1">
      <c r="G487" s="57"/>
    </row>
    <row r="488" spans="7:7" ht="12" customHeight="1">
      <c r="G488" s="57"/>
    </row>
    <row r="489" spans="7:7" ht="12" customHeight="1">
      <c r="G489" s="57"/>
    </row>
    <row r="490" spans="7:7" ht="12" customHeight="1">
      <c r="G490" s="57"/>
    </row>
    <row r="491" spans="7:7" ht="12" customHeight="1">
      <c r="G491" s="57"/>
    </row>
    <row r="492" spans="7:7" ht="12" customHeight="1">
      <c r="G492" s="57"/>
    </row>
    <row r="493" spans="7:7" ht="12" customHeight="1">
      <c r="G493" s="57"/>
    </row>
    <row r="494" spans="7:7" ht="12" customHeight="1">
      <c r="G494" s="57"/>
    </row>
    <row r="495" spans="7:7" ht="12" customHeight="1">
      <c r="G495" s="57"/>
    </row>
    <row r="496" spans="7:7" ht="12" customHeight="1">
      <c r="G496" s="57"/>
    </row>
    <row r="497" spans="7:7" ht="12" customHeight="1">
      <c r="G497" s="57"/>
    </row>
    <row r="498" spans="7:7" ht="12" customHeight="1">
      <c r="G498" s="57"/>
    </row>
    <row r="499" spans="7:7" ht="12" customHeight="1">
      <c r="G499" s="57"/>
    </row>
    <row r="500" spans="7:7" ht="12" customHeight="1">
      <c r="G500" s="57"/>
    </row>
    <row r="501" spans="7:7" ht="12" customHeight="1">
      <c r="G501" s="57"/>
    </row>
    <row r="502" spans="7:7" ht="12" customHeight="1">
      <c r="G502" s="57"/>
    </row>
    <row r="503" spans="7:7" ht="12" customHeight="1">
      <c r="G503" s="57"/>
    </row>
    <row r="504" spans="7:7" ht="12" customHeight="1">
      <c r="G504" s="57"/>
    </row>
    <row r="505" spans="7:7" ht="12" customHeight="1">
      <c r="G505" s="57"/>
    </row>
    <row r="506" spans="7:7" ht="12" customHeight="1">
      <c r="G506" s="57"/>
    </row>
    <row r="507" spans="7:7" ht="12" customHeight="1">
      <c r="G507" s="57"/>
    </row>
    <row r="508" spans="7:7" ht="12" customHeight="1">
      <c r="G508" s="57"/>
    </row>
    <row r="509" spans="7:7" ht="12" customHeight="1">
      <c r="G509" s="57"/>
    </row>
    <row r="510" spans="7:7" ht="12" customHeight="1">
      <c r="G510" s="57"/>
    </row>
    <row r="511" spans="7:7" ht="12" customHeight="1">
      <c r="G511" s="57"/>
    </row>
    <row r="512" spans="7:7" ht="12" customHeight="1">
      <c r="G512" s="57"/>
    </row>
    <row r="513" spans="7:7" ht="12" customHeight="1">
      <c r="G513" s="57"/>
    </row>
    <row r="514" spans="7:7" ht="12" customHeight="1">
      <c r="G514" s="57"/>
    </row>
    <row r="515" spans="7:7" ht="12" customHeight="1">
      <c r="G515" s="57"/>
    </row>
    <row r="516" spans="7:7" ht="12" customHeight="1">
      <c r="G516" s="57"/>
    </row>
    <row r="517" spans="7:7" ht="12" customHeight="1">
      <c r="G517" s="57"/>
    </row>
    <row r="518" spans="7:7" ht="12" customHeight="1">
      <c r="G518" s="57"/>
    </row>
    <row r="519" spans="7:7" ht="12" customHeight="1">
      <c r="G519" s="57"/>
    </row>
    <row r="520" spans="7:7" ht="12" customHeight="1">
      <c r="G520" s="57"/>
    </row>
    <row r="521" spans="7:7" ht="12" customHeight="1">
      <c r="G521" s="57"/>
    </row>
    <row r="522" spans="7:7" ht="12" customHeight="1">
      <c r="G522" s="57"/>
    </row>
    <row r="523" spans="7:7" ht="12" customHeight="1">
      <c r="G523" s="57"/>
    </row>
    <row r="524" spans="7:7" ht="12" customHeight="1">
      <c r="G524" s="57"/>
    </row>
    <row r="525" spans="7:7" ht="12" customHeight="1">
      <c r="G525" s="57"/>
    </row>
    <row r="526" spans="7:7" ht="12" customHeight="1">
      <c r="G526" s="57"/>
    </row>
    <row r="527" spans="7:7" ht="12" customHeight="1">
      <c r="G527" s="57"/>
    </row>
    <row r="528" spans="7:7" ht="12" customHeight="1">
      <c r="G528" s="57"/>
    </row>
    <row r="529" spans="7:7" ht="12" customHeight="1">
      <c r="G529" s="57"/>
    </row>
    <row r="530" spans="7:7" ht="12" customHeight="1">
      <c r="G530" s="57"/>
    </row>
    <row r="531" spans="7:7" ht="12" customHeight="1">
      <c r="G531" s="57"/>
    </row>
    <row r="532" spans="7:7" ht="12" customHeight="1">
      <c r="G532" s="57"/>
    </row>
    <row r="533" spans="7:7" ht="12" customHeight="1">
      <c r="G533" s="57"/>
    </row>
    <row r="534" spans="7:7" ht="12" customHeight="1">
      <c r="G534" s="57"/>
    </row>
    <row r="535" spans="7:7" ht="12" customHeight="1">
      <c r="G535" s="57"/>
    </row>
    <row r="536" spans="7:7" ht="12" customHeight="1">
      <c r="G536" s="57"/>
    </row>
    <row r="537" spans="7:7" ht="12" customHeight="1">
      <c r="G537" s="57"/>
    </row>
    <row r="538" spans="7:7" ht="12" customHeight="1">
      <c r="G538" s="57"/>
    </row>
    <row r="539" spans="7:7" ht="12" customHeight="1">
      <c r="G539" s="57"/>
    </row>
    <row r="540" spans="7:7" ht="12" customHeight="1">
      <c r="G540" s="57"/>
    </row>
    <row r="541" spans="7:7" ht="12" customHeight="1">
      <c r="G541" s="57"/>
    </row>
    <row r="542" spans="7:7" ht="12" customHeight="1">
      <c r="G542" s="57"/>
    </row>
    <row r="543" spans="7:7" ht="12" customHeight="1">
      <c r="G543" s="57"/>
    </row>
    <row r="544" spans="7:7" ht="12" customHeight="1">
      <c r="G544" s="57"/>
    </row>
    <row r="545" spans="7:7" ht="12" customHeight="1">
      <c r="G545" s="57"/>
    </row>
    <row r="546" spans="7:7" ht="12" customHeight="1">
      <c r="G546" s="57"/>
    </row>
    <row r="547" spans="7:7" ht="12" customHeight="1">
      <c r="G547" s="57"/>
    </row>
    <row r="548" spans="7:7" ht="12" customHeight="1">
      <c r="G548" s="57"/>
    </row>
    <row r="549" spans="7:7" ht="12" customHeight="1">
      <c r="G549" s="57"/>
    </row>
    <row r="550" spans="7:7" ht="12" customHeight="1">
      <c r="G550" s="57"/>
    </row>
    <row r="551" spans="7:7" ht="12" customHeight="1">
      <c r="G551" s="57"/>
    </row>
    <row r="552" spans="7:7" ht="12" customHeight="1">
      <c r="G552" s="57"/>
    </row>
    <row r="553" spans="7:7" ht="12" customHeight="1">
      <c r="G553" s="57"/>
    </row>
    <row r="554" spans="7:7" ht="12" customHeight="1">
      <c r="G554" s="57"/>
    </row>
    <row r="555" spans="7:7" ht="12" customHeight="1">
      <c r="G555" s="57"/>
    </row>
    <row r="556" spans="7:7" ht="12" customHeight="1">
      <c r="G556" s="57"/>
    </row>
    <row r="557" spans="7:7" ht="12" customHeight="1">
      <c r="G557" s="57"/>
    </row>
    <row r="558" spans="7:7" ht="12" customHeight="1">
      <c r="G558" s="57"/>
    </row>
    <row r="559" spans="7:7" ht="12" customHeight="1">
      <c r="G559" s="57"/>
    </row>
    <row r="560" spans="7:7" ht="12" customHeight="1">
      <c r="G560" s="57"/>
    </row>
    <row r="561" spans="7:7" ht="12" customHeight="1">
      <c r="G561" s="57"/>
    </row>
    <row r="562" spans="7:7" ht="12" customHeight="1">
      <c r="G562" s="57"/>
    </row>
    <row r="563" spans="7:7" ht="12" customHeight="1">
      <c r="G563" s="57"/>
    </row>
    <row r="564" spans="7:7" ht="12" customHeight="1">
      <c r="G564" s="57"/>
    </row>
    <row r="565" spans="7:7" ht="12" customHeight="1">
      <c r="G565" s="57"/>
    </row>
    <row r="566" spans="7:7" ht="12" customHeight="1">
      <c r="G566" s="57"/>
    </row>
    <row r="567" spans="7:7" ht="12" customHeight="1">
      <c r="G567" s="57"/>
    </row>
    <row r="568" spans="7:7" ht="12" customHeight="1">
      <c r="G568" s="57"/>
    </row>
    <row r="569" spans="7:7" ht="12" customHeight="1">
      <c r="G569" s="57"/>
    </row>
    <row r="570" spans="7:7" ht="12" customHeight="1">
      <c r="G570" s="57"/>
    </row>
    <row r="571" spans="7:7" ht="12" customHeight="1">
      <c r="G571" s="57"/>
    </row>
    <row r="572" spans="7:7" ht="12" customHeight="1">
      <c r="G572" s="57"/>
    </row>
    <row r="573" spans="7:7" ht="12" customHeight="1">
      <c r="G573" s="57"/>
    </row>
    <row r="574" spans="7:7" ht="12" customHeight="1">
      <c r="G574" s="57"/>
    </row>
    <row r="575" spans="7:7" ht="12" customHeight="1">
      <c r="G575" s="57"/>
    </row>
    <row r="576" spans="7:7" ht="12" customHeight="1">
      <c r="G576" s="57"/>
    </row>
    <row r="577" spans="7:7" ht="12" customHeight="1">
      <c r="G577" s="57"/>
    </row>
    <row r="578" spans="7:7" ht="12" customHeight="1">
      <c r="G578" s="57"/>
    </row>
    <row r="579" spans="7:7" ht="12" customHeight="1">
      <c r="G579" s="57"/>
    </row>
    <row r="580" spans="7:7" ht="12" customHeight="1">
      <c r="G580" s="57"/>
    </row>
    <row r="581" spans="7:7" ht="12" customHeight="1">
      <c r="G581" s="57"/>
    </row>
    <row r="582" spans="7:7" ht="12" customHeight="1">
      <c r="G582" s="57"/>
    </row>
    <row r="583" spans="7:7" ht="12" customHeight="1">
      <c r="G583" s="57"/>
    </row>
    <row r="584" spans="7:7" ht="12" customHeight="1">
      <c r="G584" s="57"/>
    </row>
    <row r="585" spans="7:7" ht="12" customHeight="1">
      <c r="G585" s="57"/>
    </row>
    <row r="586" spans="7:7" ht="12" customHeight="1">
      <c r="G586" s="57"/>
    </row>
    <row r="587" spans="7:7" ht="12" customHeight="1">
      <c r="G587" s="57"/>
    </row>
    <row r="588" spans="7:7" ht="12" customHeight="1">
      <c r="G588" s="57"/>
    </row>
    <row r="589" spans="7:7" ht="12" customHeight="1">
      <c r="G589" s="57"/>
    </row>
    <row r="590" spans="7:7" ht="12" customHeight="1">
      <c r="G590" s="57"/>
    </row>
    <row r="591" spans="7:7" ht="12" customHeight="1">
      <c r="G591" s="57"/>
    </row>
    <row r="592" spans="7:7" ht="12" customHeight="1">
      <c r="G592" s="57"/>
    </row>
    <row r="593" spans="7:7" ht="12" customHeight="1">
      <c r="G593" s="57"/>
    </row>
    <row r="594" spans="7:7" ht="12" customHeight="1">
      <c r="G594" s="57"/>
    </row>
    <row r="595" spans="7:7" ht="12" customHeight="1">
      <c r="G595" s="57"/>
    </row>
    <row r="596" spans="7:7" ht="12" customHeight="1">
      <c r="G596" s="57"/>
    </row>
    <row r="597" spans="7:7" ht="12" customHeight="1">
      <c r="G597" s="57"/>
    </row>
    <row r="598" spans="7:7" ht="12" customHeight="1">
      <c r="G598" s="57"/>
    </row>
    <row r="599" spans="7:7" ht="12" customHeight="1">
      <c r="G599" s="57"/>
    </row>
    <row r="600" spans="7:7" ht="12" customHeight="1">
      <c r="G600" s="57"/>
    </row>
    <row r="601" spans="7:7" ht="12" customHeight="1">
      <c r="G601" s="57"/>
    </row>
    <row r="602" spans="7:7" ht="12" customHeight="1">
      <c r="G602" s="57"/>
    </row>
    <row r="603" spans="7:7" ht="12" customHeight="1">
      <c r="G603" s="57"/>
    </row>
    <row r="604" spans="7:7" ht="12" customHeight="1">
      <c r="G604" s="57"/>
    </row>
    <row r="605" spans="7:7" ht="12" customHeight="1">
      <c r="G605" s="57"/>
    </row>
    <row r="606" spans="7:7" ht="12" customHeight="1">
      <c r="G606" s="57"/>
    </row>
    <row r="607" spans="7:7" ht="12" customHeight="1">
      <c r="G607" s="57"/>
    </row>
    <row r="608" spans="7:7" ht="12" customHeight="1">
      <c r="G608" s="57"/>
    </row>
    <row r="609" spans="7:7" ht="12" customHeight="1">
      <c r="G609" s="57"/>
    </row>
    <row r="610" spans="7:7" ht="12" customHeight="1">
      <c r="G610" s="57"/>
    </row>
    <row r="611" spans="7:7" ht="12" customHeight="1">
      <c r="G611" s="57"/>
    </row>
    <row r="612" spans="7:7" ht="12" customHeight="1">
      <c r="G612" s="57"/>
    </row>
    <row r="613" spans="7:7" ht="12" customHeight="1">
      <c r="G613" s="57"/>
    </row>
    <row r="614" spans="7:7" ht="12" customHeight="1">
      <c r="G614" s="57"/>
    </row>
    <row r="615" spans="7:7" ht="12" customHeight="1">
      <c r="G615" s="57"/>
    </row>
    <row r="616" spans="7:7" ht="12" customHeight="1">
      <c r="G616" s="57"/>
    </row>
    <row r="617" spans="7:7" ht="12" customHeight="1">
      <c r="G617" s="57"/>
    </row>
    <row r="618" spans="7:7" ht="12" customHeight="1">
      <c r="G618" s="57"/>
    </row>
    <row r="619" spans="7:7" ht="12" customHeight="1">
      <c r="G619" s="57"/>
    </row>
    <row r="620" spans="7:7" ht="12" customHeight="1">
      <c r="G620" s="57"/>
    </row>
    <row r="621" spans="7:7" ht="12" customHeight="1">
      <c r="G621" s="57"/>
    </row>
    <row r="622" spans="7:7" ht="12" customHeight="1">
      <c r="G622" s="57"/>
    </row>
    <row r="623" spans="7:7" ht="12" customHeight="1">
      <c r="G623" s="57"/>
    </row>
    <row r="624" spans="7:7" ht="12" customHeight="1">
      <c r="G624" s="57"/>
    </row>
    <row r="625" spans="7:7" ht="12" customHeight="1">
      <c r="G625" s="57"/>
    </row>
    <row r="626" spans="7:7" ht="12" customHeight="1">
      <c r="G626" s="57"/>
    </row>
    <row r="627" spans="7:7" ht="12" customHeight="1">
      <c r="G627" s="57"/>
    </row>
    <row r="628" spans="7:7" ht="12" customHeight="1">
      <c r="G628" s="57"/>
    </row>
    <row r="629" spans="7:7" ht="12" customHeight="1">
      <c r="G629" s="57"/>
    </row>
    <row r="630" spans="7:7" ht="12" customHeight="1">
      <c r="G630" s="57"/>
    </row>
    <row r="631" spans="7:7" ht="12" customHeight="1">
      <c r="G631" s="57"/>
    </row>
    <row r="632" spans="7:7" ht="12" customHeight="1">
      <c r="G632" s="57"/>
    </row>
    <row r="633" spans="7:7" ht="12" customHeight="1">
      <c r="G633" s="57"/>
    </row>
    <row r="634" spans="7:7" ht="12" customHeight="1">
      <c r="G634" s="57"/>
    </row>
    <row r="635" spans="7:7" ht="12" customHeight="1">
      <c r="G635" s="57"/>
    </row>
    <row r="636" spans="7:7" ht="12" customHeight="1">
      <c r="G636" s="57"/>
    </row>
    <row r="637" spans="7:7" ht="12" customHeight="1">
      <c r="G637" s="57"/>
    </row>
    <row r="638" spans="7:7" ht="12" customHeight="1">
      <c r="G638" s="57"/>
    </row>
    <row r="639" spans="7:7" ht="12" customHeight="1">
      <c r="G639" s="57"/>
    </row>
    <row r="640" spans="7:7" ht="12" customHeight="1">
      <c r="G640" s="57"/>
    </row>
    <row r="641" spans="7:7" ht="12" customHeight="1">
      <c r="G641" s="57"/>
    </row>
    <row r="642" spans="7:7" ht="12" customHeight="1">
      <c r="G642" s="57"/>
    </row>
    <row r="643" spans="7:7" ht="12" customHeight="1">
      <c r="G643" s="57"/>
    </row>
    <row r="644" spans="7:7" ht="12" customHeight="1">
      <c r="G644" s="57"/>
    </row>
    <row r="645" spans="7:7" ht="12" customHeight="1">
      <c r="G645" s="57"/>
    </row>
    <row r="646" spans="7:7" ht="12" customHeight="1">
      <c r="G646" s="57"/>
    </row>
    <row r="647" spans="7:7" ht="12" customHeight="1">
      <c r="G647" s="57"/>
    </row>
    <row r="648" spans="7:7" ht="12" customHeight="1">
      <c r="G648" s="57"/>
    </row>
    <row r="649" spans="7:7" ht="12" customHeight="1">
      <c r="G649" s="57"/>
    </row>
    <row r="650" spans="7:7" ht="12" customHeight="1">
      <c r="G650" s="57"/>
    </row>
    <row r="651" spans="7:7" ht="12" customHeight="1">
      <c r="G651" s="57"/>
    </row>
    <row r="652" spans="7:7" ht="12" customHeight="1">
      <c r="G652" s="57"/>
    </row>
    <row r="653" spans="7:7" ht="12" customHeight="1">
      <c r="G653" s="57"/>
    </row>
    <row r="654" spans="7:7" ht="12" customHeight="1">
      <c r="G654" s="57"/>
    </row>
    <row r="655" spans="7:7" ht="12" customHeight="1">
      <c r="G655" s="57"/>
    </row>
    <row r="656" spans="7:7" ht="12" customHeight="1">
      <c r="G656" s="57"/>
    </row>
    <row r="657" spans="7:7" ht="12" customHeight="1">
      <c r="G657" s="57"/>
    </row>
    <row r="658" spans="7:7" ht="12" customHeight="1">
      <c r="G658" s="57"/>
    </row>
    <row r="659" spans="7:7" ht="12" customHeight="1">
      <c r="G659" s="57"/>
    </row>
    <row r="660" spans="7:7" ht="12" customHeight="1">
      <c r="G660" s="57"/>
    </row>
    <row r="661" spans="7:7" ht="12" customHeight="1">
      <c r="G661" s="57"/>
    </row>
    <row r="662" spans="7:7" ht="12" customHeight="1">
      <c r="G662" s="57"/>
    </row>
    <row r="663" spans="7:7" ht="12" customHeight="1">
      <c r="G663" s="57"/>
    </row>
    <row r="664" spans="7:7" ht="12" customHeight="1">
      <c r="G664" s="57"/>
    </row>
    <row r="665" spans="7:7" ht="12" customHeight="1">
      <c r="G665" s="57"/>
    </row>
    <row r="666" spans="7:7" ht="12" customHeight="1">
      <c r="G666" s="57"/>
    </row>
    <row r="667" spans="7:7" ht="12" customHeight="1">
      <c r="G667" s="57"/>
    </row>
    <row r="668" spans="7:7" ht="12" customHeight="1">
      <c r="G668" s="57"/>
    </row>
    <row r="669" spans="7:7" ht="12" customHeight="1">
      <c r="G669" s="57"/>
    </row>
    <row r="670" spans="7:7" ht="12" customHeight="1">
      <c r="G670" s="57"/>
    </row>
    <row r="671" spans="7:7" ht="12" customHeight="1">
      <c r="G671" s="57"/>
    </row>
    <row r="672" spans="7:7" ht="12" customHeight="1">
      <c r="G672" s="57"/>
    </row>
    <row r="673" spans="7:7" ht="12" customHeight="1">
      <c r="G673" s="57"/>
    </row>
    <row r="674" spans="7:7" ht="12" customHeight="1">
      <c r="G674" s="57"/>
    </row>
    <row r="675" spans="7:7" ht="12" customHeight="1">
      <c r="G675" s="57"/>
    </row>
    <row r="676" spans="7:7" ht="12" customHeight="1">
      <c r="G676" s="57"/>
    </row>
    <row r="677" spans="7:7" ht="12" customHeight="1">
      <c r="G677" s="57"/>
    </row>
    <row r="678" spans="7:7" ht="12" customHeight="1">
      <c r="G678" s="57"/>
    </row>
    <row r="679" spans="7:7" ht="12" customHeight="1">
      <c r="G679" s="57"/>
    </row>
    <row r="680" spans="7:7" ht="12" customHeight="1">
      <c r="G680" s="57"/>
    </row>
    <row r="681" spans="7:7" ht="12" customHeight="1">
      <c r="G681" s="57"/>
    </row>
    <row r="682" spans="7:7" ht="12" customHeight="1">
      <c r="G682" s="57"/>
    </row>
    <row r="683" spans="7:7" ht="12" customHeight="1">
      <c r="G683" s="57"/>
    </row>
    <row r="684" spans="7:7" ht="12" customHeight="1">
      <c r="G684" s="57"/>
    </row>
    <row r="685" spans="7:7" ht="12" customHeight="1">
      <c r="G685" s="57"/>
    </row>
    <row r="686" spans="7:7" ht="12" customHeight="1">
      <c r="G686" s="57"/>
    </row>
    <row r="687" spans="7:7" ht="12" customHeight="1">
      <c r="G687" s="57"/>
    </row>
    <row r="688" spans="7:7" ht="12" customHeight="1">
      <c r="G688" s="57"/>
    </row>
    <row r="689" spans="7:7" ht="12" customHeight="1">
      <c r="G689" s="57"/>
    </row>
    <row r="690" spans="7:7" ht="12" customHeight="1">
      <c r="G690" s="57"/>
    </row>
    <row r="691" spans="7:7" ht="12" customHeight="1">
      <c r="G691" s="57"/>
    </row>
    <row r="692" spans="7:7" ht="12" customHeight="1">
      <c r="G692" s="57"/>
    </row>
    <row r="693" spans="7:7" ht="12" customHeight="1">
      <c r="G693" s="57"/>
    </row>
    <row r="694" spans="7:7" ht="12" customHeight="1">
      <c r="G694" s="57"/>
    </row>
    <row r="695" spans="7:7" ht="12" customHeight="1">
      <c r="G695" s="57"/>
    </row>
    <row r="696" spans="7:7" ht="12" customHeight="1">
      <c r="G696" s="57"/>
    </row>
    <row r="697" spans="7:7" ht="12" customHeight="1">
      <c r="G697" s="57"/>
    </row>
    <row r="698" spans="7:7" ht="12" customHeight="1">
      <c r="G698" s="57"/>
    </row>
    <row r="699" spans="7:7" ht="12" customHeight="1">
      <c r="G699" s="57"/>
    </row>
    <row r="700" spans="7:7" ht="12" customHeight="1">
      <c r="G700" s="57"/>
    </row>
    <row r="701" spans="7:7" ht="12" customHeight="1">
      <c r="G701" s="57"/>
    </row>
    <row r="702" spans="7:7" ht="12" customHeight="1">
      <c r="G702" s="57"/>
    </row>
    <row r="703" spans="7:7" ht="12" customHeight="1">
      <c r="G703" s="57"/>
    </row>
    <row r="704" spans="7:7" ht="12" customHeight="1">
      <c r="G704" s="57"/>
    </row>
    <row r="705" spans="7:7" ht="12" customHeight="1">
      <c r="G705" s="57"/>
    </row>
    <row r="706" spans="7:7" ht="12" customHeight="1">
      <c r="G706" s="57"/>
    </row>
    <row r="707" spans="7:7" ht="12" customHeight="1">
      <c r="G707" s="57"/>
    </row>
    <row r="708" spans="7:7" ht="12" customHeight="1">
      <c r="G708" s="57"/>
    </row>
    <row r="709" spans="7:7" ht="12" customHeight="1">
      <c r="G709" s="57"/>
    </row>
    <row r="710" spans="7:7" ht="12" customHeight="1">
      <c r="G710" s="57"/>
    </row>
    <row r="711" spans="7:7" ht="12" customHeight="1">
      <c r="G711" s="57"/>
    </row>
    <row r="712" spans="7:7" ht="12" customHeight="1">
      <c r="G712" s="57"/>
    </row>
    <row r="713" spans="7:7" ht="12" customHeight="1">
      <c r="G713" s="57"/>
    </row>
    <row r="714" spans="7:7" ht="12" customHeight="1">
      <c r="G714" s="57"/>
    </row>
    <row r="715" spans="7:7" ht="12" customHeight="1">
      <c r="G715" s="57"/>
    </row>
    <row r="716" spans="7:7" ht="12" customHeight="1">
      <c r="G716" s="57"/>
    </row>
    <row r="717" spans="7:7" ht="12" customHeight="1">
      <c r="G717" s="57"/>
    </row>
    <row r="718" spans="7:7" ht="12" customHeight="1">
      <c r="G718" s="57"/>
    </row>
    <row r="719" spans="7:7" ht="12" customHeight="1">
      <c r="G719" s="57"/>
    </row>
    <row r="720" spans="7:7" ht="12" customHeight="1">
      <c r="G720" s="57"/>
    </row>
    <row r="721" spans="7:7" ht="12" customHeight="1">
      <c r="G721" s="57"/>
    </row>
    <row r="722" spans="7:7" ht="12" customHeight="1">
      <c r="G722" s="57"/>
    </row>
    <row r="723" spans="7:7" ht="12" customHeight="1">
      <c r="G723" s="57"/>
    </row>
    <row r="724" spans="7:7" ht="12" customHeight="1">
      <c r="G724" s="57"/>
    </row>
    <row r="725" spans="7:7" ht="12" customHeight="1">
      <c r="G725" s="57"/>
    </row>
    <row r="726" spans="7:7" ht="12" customHeight="1">
      <c r="G726" s="57"/>
    </row>
    <row r="727" spans="7:7" ht="12" customHeight="1">
      <c r="G727" s="57"/>
    </row>
    <row r="728" spans="7:7" ht="12" customHeight="1">
      <c r="G728" s="57"/>
    </row>
    <row r="729" spans="7:7" ht="12" customHeight="1">
      <c r="G729" s="57"/>
    </row>
    <row r="730" spans="7:7" ht="12" customHeight="1">
      <c r="G730" s="57"/>
    </row>
    <row r="731" spans="7:7" ht="12" customHeight="1">
      <c r="G731" s="57"/>
    </row>
    <row r="732" spans="7:7" ht="12" customHeight="1">
      <c r="G732" s="57"/>
    </row>
    <row r="733" spans="7:7" ht="12" customHeight="1">
      <c r="G733" s="57"/>
    </row>
    <row r="734" spans="7:7" ht="12" customHeight="1">
      <c r="G734" s="57"/>
    </row>
    <row r="735" spans="7:7" ht="12" customHeight="1">
      <c r="G735" s="57"/>
    </row>
    <row r="736" spans="7:7" ht="12" customHeight="1">
      <c r="G736" s="57"/>
    </row>
    <row r="737" spans="7:7" ht="12" customHeight="1">
      <c r="G737" s="57"/>
    </row>
    <row r="738" spans="7:7" ht="12" customHeight="1">
      <c r="G738" s="57"/>
    </row>
    <row r="739" spans="7:7" ht="12" customHeight="1">
      <c r="G739" s="57"/>
    </row>
    <row r="740" spans="7:7" ht="12" customHeight="1">
      <c r="G740" s="57"/>
    </row>
    <row r="741" spans="7:7" ht="12" customHeight="1">
      <c r="G741" s="57"/>
    </row>
    <row r="742" spans="7:7" ht="12" customHeight="1">
      <c r="G742" s="57"/>
    </row>
    <row r="743" spans="7:7" ht="12" customHeight="1">
      <c r="G743" s="57"/>
    </row>
    <row r="744" spans="7:7" ht="12" customHeight="1">
      <c r="G744" s="57"/>
    </row>
    <row r="745" spans="7:7" ht="12" customHeight="1">
      <c r="G745" s="57"/>
    </row>
    <row r="746" spans="7:7" ht="12" customHeight="1">
      <c r="G746" s="57"/>
    </row>
    <row r="747" spans="7:7" ht="12" customHeight="1">
      <c r="G747" s="57"/>
    </row>
    <row r="748" spans="7:7" ht="12" customHeight="1">
      <c r="G748" s="57"/>
    </row>
    <row r="749" spans="7:7" ht="12" customHeight="1">
      <c r="G749" s="57"/>
    </row>
    <row r="750" spans="7:7" ht="12" customHeight="1">
      <c r="G750" s="57"/>
    </row>
    <row r="751" spans="7:7" ht="12" customHeight="1">
      <c r="G751" s="57"/>
    </row>
    <row r="752" spans="7:7" ht="12" customHeight="1">
      <c r="G752" s="57"/>
    </row>
    <row r="753" spans="7:7" ht="12" customHeight="1">
      <c r="G753" s="57"/>
    </row>
    <row r="754" spans="7:7" ht="12" customHeight="1">
      <c r="G754" s="57"/>
    </row>
    <row r="755" spans="7:7" ht="12" customHeight="1">
      <c r="G755" s="57"/>
    </row>
    <row r="756" spans="7:7" ht="12" customHeight="1">
      <c r="G756" s="57"/>
    </row>
    <row r="757" spans="7:7" ht="12" customHeight="1">
      <c r="G757" s="57"/>
    </row>
    <row r="758" spans="7:7" ht="12" customHeight="1">
      <c r="G758" s="57"/>
    </row>
    <row r="759" spans="7:7" ht="12" customHeight="1">
      <c r="G759" s="57"/>
    </row>
    <row r="760" spans="7:7" ht="12" customHeight="1">
      <c r="G760" s="57"/>
    </row>
    <row r="761" spans="7:7" ht="12" customHeight="1">
      <c r="G761" s="57"/>
    </row>
    <row r="762" spans="7:7" ht="12" customHeight="1">
      <c r="G762" s="57"/>
    </row>
    <row r="763" spans="7:7" ht="12" customHeight="1">
      <c r="G763" s="57"/>
    </row>
    <row r="764" spans="7:7" ht="12" customHeight="1">
      <c r="G764" s="57"/>
    </row>
    <row r="765" spans="7:7" ht="12" customHeight="1">
      <c r="G765" s="57"/>
    </row>
    <row r="766" spans="7:7" ht="12" customHeight="1">
      <c r="G766" s="57"/>
    </row>
    <row r="767" spans="7:7" ht="12" customHeight="1">
      <c r="G767" s="57"/>
    </row>
    <row r="768" spans="7:7" ht="12" customHeight="1">
      <c r="G768" s="57"/>
    </row>
    <row r="769" spans="7:7" ht="12" customHeight="1">
      <c r="G769" s="57"/>
    </row>
    <row r="770" spans="7:7" ht="12" customHeight="1">
      <c r="G770" s="57"/>
    </row>
    <row r="771" spans="7:7" ht="12" customHeight="1">
      <c r="G771" s="57"/>
    </row>
    <row r="772" spans="7:7" ht="12" customHeight="1">
      <c r="G772" s="57"/>
    </row>
    <row r="773" spans="7:7" ht="12" customHeight="1">
      <c r="G773" s="57"/>
    </row>
    <row r="774" spans="7:7" ht="12" customHeight="1">
      <c r="G774" s="57"/>
    </row>
    <row r="775" spans="7:7" ht="12" customHeight="1">
      <c r="G775" s="57"/>
    </row>
    <row r="776" spans="7:7" ht="12" customHeight="1">
      <c r="G776" s="57"/>
    </row>
    <row r="777" spans="7:7" ht="12" customHeight="1">
      <c r="G777" s="57"/>
    </row>
    <row r="778" spans="7:7" ht="12" customHeight="1">
      <c r="G778" s="57"/>
    </row>
    <row r="779" spans="7:7" ht="12" customHeight="1">
      <c r="G779" s="57"/>
    </row>
    <row r="780" spans="7:7" ht="12" customHeight="1">
      <c r="G780" s="57"/>
    </row>
    <row r="781" spans="7:7" ht="12" customHeight="1">
      <c r="G781" s="57"/>
    </row>
    <row r="782" spans="7:7" ht="12" customHeight="1">
      <c r="G782" s="57"/>
    </row>
    <row r="783" spans="7:7" ht="12" customHeight="1">
      <c r="G783" s="57"/>
    </row>
    <row r="784" spans="7:7" ht="12" customHeight="1">
      <c r="G784" s="57"/>
    </row>
    <row r="785" spans="7:7" ht="12" customHeight="1">
      <c r="G785" s="57"/>
    </row>
    <row r="786" spans="7:7" ht="12" customHeight="1">
      <c r="G786" s="57"/>
    </row>
    <row r="787" spans="7:7" ht="12" customHeight="1">
      <c r="G787" s="57"/>
    </row>
    <row r="788" spans="7:7" ht="12" customHeight="1">
      <c r="G788" s="57"/>
    </row>
    <row r="789" spans="7:7" ht="12" customHeight="1">
      <c r="G789" s="57"/>
    </row>
    <row r="790" spans="7:7" ht="12" customHeight="1">
      <c r="G790" s="57"/>
    </row>
    <row r="791" spans="7:7" ht="12" customHeight="1">
      <c r="G791" s="57"/>
    </row>
    <row r="792" spans="7:7" ht="12" customHeight="1">
      <c r="G792" s="57"/>
    </row>
    <row r="793" spans="7:7" ht="12" customHeight="1">
      <c r="G793" s="57"/>
    </row>
    <row r="794" spans="7:7" ht="12" customHeight="1">
      <c r="G794" s="57"/>
    </row>
    <row r="795" spans="7:7" ht="12" customHeight="1">
      <c r="G795" s="57"/>
    </row>
    <row r="796" spans="7:7" ht="12" customHeight="1">
      <c r="G796" s="57"/>
    </row>
    <row r="797" spans="7:7" ht="12" customHeight="1">
      <c r="G797" s="57"/>
    </row>
    <row r="798" spans="7:7" ht="12" customHeight="1">
      <c r="G798" s="57"/>
    </row>
    <row r="799" spans="7:7" ht="12" customHeight="1">
      <c r="G799" s="57"/>
    </row>
    <row r="800" spans="7:7" ht="12" customHeight="1">
      <c r="G800" s="57"/>
    </row>
    <row r="801" spans="7:7" ht="12" customHeight="1">
      <c r="G801" s="57"/>
    </row>
    <row r="802" spans="7:7" ht="12" customHeight="1">
      <c r="G802" s="57"/>
    </row>
    <row r="803" spans="7:7" ht="12" customHeight="1">
      <c r="G803" s="57"/>
    </row>
    <row r="804" spans="7:7" ht="12" customHeight="1">
      <c r="G804" s="57"/>
    </row>
    <row r="805" spans="7:7" ht="12" customHeight="1">
      <c r="G805" s="57"/>
    </row>
    <row r="806" spans="7:7" ht="12" customHeight="1">
      <c r="G806" s="57"/>
    </row>
    <row r="807" spans="7:7" ht="12" customHeight="1">
      <c r="G807" s="57"/>
    </row>
    <row r="808" spans="7:7" ht="12" customHeight="1">
      <c r="G808" s="57"/>
    </row>
    <row r="809" spans="7:7" ht="12" customHeight="1">
      <c r="G809" s="57"/>
    </row>
    <row r="810" spans="7:7" ht="12" customHeight="1">
      <c r="G810" s="57"/>
    </row>
    <row r="811" spans="7:7" ht="12" customHeight="1">
      <c r="G811" s="57"/>
    </row>
    <row r="812" spans="7:7" ht="12" customHeight="1">
      <c r="G812" s="57"/>
    </row>
    <row r="813" spans="7:7" ht="12" customHeight="1">
      <c r="G813" s="57"/>
    </row>
    <row r="814" spans="7:7" ht="12" customHeight="1">
      <c r="G814" s="57"/>
    </row>
    <row r="815" spans="7:7" ht="12" customHeight="1">
      <c r="G815" s="57"/>
    </row>
    <row r="816" spans="7:7" ht="12" customHeight="1">
      <c r="G816" s="57"/>
    </row>
    <row r="817" spans="7:7" ht="12" customHeight="1">
      <c r="G817" s="57"/>
    </row>
    <row r="818" spans="7:7" ht="12" customHeight="1">
      <c r="G818" s="57"/>
    </row>
    <row r="819" spans="7:7" ht="12" customHeight="1">
      <c r="G819" s="57"/>
    </row>
    <row r="820" spans="7:7" ht="12" customHeight="1">
      <c r="G820" s="57"/>
    </row>
    <row r="821" spans="7:7" ht="12" customHeight="1">
      <c r="G821" s="57"/>
    </row>
    <row r="822" spans="7:7" ht="12" customHeight="1">
      <c r="G822" s="57"/>
    </row>
    <row r="823" spans="7:7" ht="12" customHeight="1">
      <c r="G823" s="57"/>
    </row>
    <row r="824" spans="7:7" ht="12" customHeight="1">
      <c r="G824" s="57"/>
    </row>
    <row r="825" spans="7:7" ht="12" customHeight="1">
      <c r="G825" s="57"/>
    </row>
    <row r="826" spans="7:7" ht="12" customHeight="1">
      <c r="G826" s="57"/>
    </row>
    <row r="827" spans="7:7" ht="12" customHeight="1">
      <c r="G827" s="57"/>
    </row>
    <row r="828" spans="7:7" ht="12" customHeight="1">
      <c r="G828" s="57"/>
    </row>
    <row r="829" spans="7:7" ht="12" customHeight="1">
      <c r="G829" s="57"/>
    </row>
    <row r="830" spans="7:7" ht="12" customHeight="1">
      <c r="G830" s="57"/>
    </row>
    <row r="831" spans="7:7" ht="12" customHeight="1">
      <c r="G831" s="57"/>
    </row>
    <row r="832" spans="7:7" ht="12" customHeight="1">
      <c r="G832" s="57"/>
    </row>
    <row r="833" spans="7:7" ht="12" customHeight="1">
      <c r="G833" s="57"/>
    </row>
    <row r="834" spans="7:7" ht="12" customHeight="1">
      <c r="G834" s="57"/>
    </row>
    <row r="835" spans="7:7" ht="12" customHeight="1">
      <c r="G835" s="57"/>
    </row>
    <row r="836" spans="7:7" ht="12" customHeight="1">
      <c r="G836" s="57"/>
    </row>
    <row r="837" spans="7:7" ht="12" customHeight="1">
      <c r="G837" s="57"/>
    </row>
    <row r="838" spans="7:7" ht="12" customHeight="1">
      <c r="G838" s="57"/>
    </row>
    <row r="839" spans="7:7" ht="12" customHeight="1">
      <c r="G839" s="57"/>
    </row>
    <row r="840" spans="7:7" ht="12" customHeight="1">
      <c r="G840" s="57"/>
    </row>
    <row r="841" spans="7:7" ht="12" customHeight="1">
      <c r="G841" s="57"/>
    </row>
    <row r="842" spans="7:7" ht="12" customHeight="1">
      <c r="G842" s="57"/>
    </row>
    <row r="843" spans="7:7" ht="12" customHeight="1">
      <c r="G843" s="57"/>
    </row>
    <row r="844" spans="7:7" ht="12" customHeight="1">
      <c r="G844" s="57"/>
    </row>
    <row r="845" spans="7:7" ht="12" customHeight="1">
      <c r="G845" s="57"/>
    </row>
    <row r="846" spans="7:7" ht="12" customHeight="1">
      <c r="G846" s="57"/>
    </row>
    <row r="847" spans="7:7" ht="12" customHeight="1">
      <c r="G847" s="57"/>
    </row>
    <row r="848" spans="7:7" ht="12" customHeight="1">
      <c r="G848" s="57"/>
    </row>
    <row r="849" spans="7:7" ht="12" customHeight="1">
      <c r="G849" s="57"/>
    </row>
    <row r="850" spans="7:7" ht="12" customHeight="1">
      <c r="G850" s="57"/>
    </row>
    <row r="851" spans="7:7" ht="12" customHeight="1">
      <c r="G851" s="57"/>
    </row>
    <row r="852" spans="7:7" ht="12" customHeight="1">
      <c r="G852" s="57"/>
    </row>
    <row r="853" spans="7:7" ht="12" customHeight="1">
      <c r="G853" s="57"/>
    </row>
    <row r="854" spans="7:7" ht="12" customHeight="1">
      <c r="G854" s="57"/>
    </row>
    <row r="855" spans="7:7" ht="12" customHeight="1">
      <c r="G855" s="57"/>
    </row>
    <row r="856" spans="7:7" ht="12" customHeight="1">
      <c r="G856" s="57"/>
    </row>
    <row r="857" spans="7:7" ht="12" customHeight="1">
      <c r="G857" s="57"/>
    </row>
    <row r="858" spans="7:7" ht="12" customHeight="1">
      <c r="G858" s="57"/>
    </row>
    <row r="859" spans="7:7" ht="12" customHeight="1">
      <c r="G859" s="57"/>
    </row>
    <row r="860" spans="7:7" ht="12" customHeight="1">
      <c r="G860" s="57"/>
    </row>
    <row r="861" spans="7:7" ht="12" customHeight="1">
      <c r="G861" s="57"/>
    </row>
    <row r="862" spans="7:7" ht="12" customHeight="1">
      <c r="G862" s="57"/>
    </row>
    <row r="863" spans="7:7" ht="12" customHeight="1">
      <c r="G863" s="57"/>
    </row>
    <row r="864" spans="7:7" ht="12" customHeight="1">
      <c r="G864" s="57"/>
    </row>
    <row r="865" spans="7:7" ht="12" customHeight="1">
      <c r="G865" s="57"/>
    </row>
    <row r="866" spans="7:7" ht="12" customHeight="1">
      <c r="G866" s="57"/>
    </row>
    <row r="867" spans="7:7" ht="12" customHeight="1">
      <c r="G867" s="57"/>
    </row>
    <row r="868" spans="7:7" ht="12" customHeight="1">
      <c r="G868" s="57"/>
    </row>
    <row r="869" spans="7:7" ht="12" customHeight="1">
      <c r="G869" s="57"/>
    </row>
    <row r="870" spans="7:7" ht="12" customHeight="1">
      <c r="G870" s="57"/>
    </row>
    <row r="871" spans="7:7" ht="12" customHeight="1">
      <c r="G871" s="57"/>
    </row>
    <row r="872" spans="7:7" ht="12" customHeight="1">
      <c r="G872" s="57"/>
    </row>
    <row r="873" spans="7:7" ht="12" customHeight="1">
      <c r="G873" s="57"/>
    </row>
    <row r="874" spans="7:7" ht="12" customHeight="1">
      <c r="G874" s="57"/>
    </row>
    <row r="875" spans="7:7" ht="12" customHeight="1">
      <c r="G875" s="57"/>
    </row>
    <row r="876" spans="7:7" ht="12" customHeight="1">
      <c r="G876" s="57"/>
    </row>
    <row r="877" spans="7:7" ht="12" customHeight="1">
      <c r="G877" s="57"/>
    </row>
    <row r="878" spans="7:7" ht="12" customHeight="1">
      <c r="G878" s="57"/>
    </row>
    <row r="879" spans="7:7" ht="12" customHeight="1">
      <c r="G879" s="57"/>
    </row>
    <row r="880" spans="7:7" ht="12" customHeight="1">
      <c r="G880" s="57"/>
    </row>
    <row r="881" spans="7:7" ht="12" customHeight="1">
      <c r="G881" s="57"/>
    </row>
    <row r="882" spans="7:7" ht="12" customHeight="1">
      <c r="G882" s="57"/>
    </row>
    <row r="883" spans="7:7" ht="12" customHeight="1">
      <c r="G883" s="57"/>
    </row>
    <row r="884" spans="7:7" ht="12" customHeight="1">
      <c r="G884" s="57"/>
    </row>
    <row r="885" spans="7:7" ht="12" customHeight="1">
      <c r="G885" s="57"/>
    </row>
    <row r="886" spans="7:7" ht="12" customHeight="1">
      <c r="G886" s="57"/>
    </row>
    <row r="887" spans="7:7" ht="12" customHeight="1">
      <c r="G887" s="57"/>
    </row>
    <row r="888" spans="7:7" ht="12" customHeight="1">
      <c r="G888" s="57"/>
    </row>
    <row r="889" spans="7:7" ht="12" customHeight="1">
      <c r="G889" s="57"/>
    </row>
    <row r="890" spans="7:7" ht="12" customHeight="1">
      <c r="G890" s="57"/>
    </row>
    <row r="891" spans="7:7" ht="12" customHeight="1">
      <c r="G891" s="57"/>
    </row>
    <row r="892" spans="7:7" ht="12" customHeight="1">
      <c r="G892" s="57"/>
    </row>
    <row r="893" spans="7:7" ht="12" customHeight="1">
      <c r="G893" s="57"/>
    </row>
    <row r="894" spans="7:7" ht="12" customHeight="1">
      <c r="G894" s="57"/>
    </row>
    <row r="895" spans="7:7" ht="12" customHeight="1">
      <c r="G895" s="57"/>
    </row>
    <row r="896" spans="7:7" ht="12" customHeight="1">
      <c r="G896" s="57"/>
    </row>
    <row r="897" spans="7:7" ht="12" customHeight="1">
      <c r="G897" s="57"/>
    </row>
    <row r="898" spans="7:7" ht="12" customHeight="1">
      <c r="G898" s="57"/>
    </row>
    <row r="899" spans="7:7" ht="12" customHeight="1">
      <c r="G899" s="57"/>
    </row>
    <row r="900" spans="7:7" ht="12" customHeight="1">
      <c r="G900" s="57"/>
    </row>
    <row r="901" spans="7:7" ht="12" customHeight="1">
      <c r="G901" s="57"/>
    </row>
    <row r="902" spans="7:7" ht="12" customHeight="1">
      <c r="G902" s="57"/>
    </row>
    <row r="903" spans="7:7" ht="12" customHeight="1">
      <c r="G903" s="57"/>
    </row>
    <row r="904" spans="7:7" ht="12" customHeight="1">
      <c r="G904" s="57"/>
    </row>
    <row r="905" spans="7:7" ht="12" customHeight="1">
      <c r="G905" s="57"/>
    </row>
    <row r="906" spans="7:7" ht="12" customHeight="1">
      <c r="G906" s="57"/>
    </row>
    <row r="907" spans="7:7" ht="12" customHeight="1">
      <c r="G907" s="57"/>
    </row>
    <row r="908" spans="7:7" ht="12" customHeight="1">
      <c r="G908" s="57"/>
    </row>
    <row r="909" spans="7:7" ht="12" customHeight="1">
      <c r="G909" s="57"/>
    </row>
    <row r="910" spans="7:7" ht="12" customHeight="1">
      <c r="G910" s="57"/>
    </row>
    <row r="911" spans="7:7" ht="12" customHeight="1">
      <c r="G911" s="57"/>
    </row>
    <row r="912" spans="7:7" ht="12" customHeight="1">
      <c r="G912" s="57"/>
    </row>
    <row r="913" spans="7:7" ht="12" customHeight="1">
      <c r="G913" s="57"/>
    </row>
    <row r="914" spans="7:7" ht="12" customHeight="1">
      <c r="G914" s="57"/>
    </row>
    <row r="915" spans="7:7" ht="12" customHeight="1">
      <c r="G915" s="57"/>
    </row>
    <row r="916" spans="7:7" ht="12" customHeight="1">
      <c r="G916" s="57"/>
    </row>
    <row r="917" spans="7:7" ht="12" customHeight="1">
      <c r="G917" s="57"/>
    </row>
    <row r="918" spans="7:7" ht="12" customHeight="1">
      <c r="G918" s="57"/>
    </row>
    <row r="919" spans="7:7" ht="12" customHeight="1">
      <c r="G919" s="57"/>
    </row>
    <row r="920" spans="7:7" ht="12" customHeight="1">
      <c r="G920" s="57"/>
    </row>
    <row r="921" spans="7:7" ht="12" customHeight="1">
      <c r="G921" s="57"/>
    </row>
    <row r="922" spans="7:7" ht="12" customHeight="1">
      <c r="G922" s="57"/>
    </row>
    <row r="923" spans="7:7" ht="12" customHeight="1">
      <c r="G923" s="57"/>
    </row>
    <row r="924" spans="7:7" ht="12" customHeight="1">
      <c r="G924" s="57"/>
    </row>
    <row r="925" spans="7:7" ht="12" customHeight="1">
      <c r="G925" s="57"/>
    </row>
    <row r="926" spans="7:7" ht="12" customHeight="1">
      <c r="G926" s="57"/>
    </row>
    <row r="927" spans="7:7" ht="12" customHeight="1">
      <c r="G927" s="57"/>
    </row>
    <row r="928" spans="7:7" ht="12" customHeight="1">
      <c r="G928" s="57"/>
    </row>
    <row r="929" spans="7:7" ht="12" customHeight="1">
      <c r="G929" s="57"/>
    </row>
    <row r="930" spans="7:7" ht="12" customHeight="1">
      <c r="G930" s="57"/>
    </row>
    <row r="931" spans="7:7" ht="12" customHeight="1">
      <c r="G931" s="57"/>
    </row>
    <row r="932" spans="7:7" ht="12" customHeight="1">
      <c r="G932" s="57"/>
    </row>
    <row r="933" spans="7:7" ht="12" customHeight="1">
      <c r="G933" s="57"/>
    </row>
    <row r="934" spans="7:7" ht="12" customHeight="1">
      <c r="G934" s="57"/>
    </row>
    <row r="935" spans="7:7" ht="12" customHeight="1">
      <c r="G935" s="57"/>
    </row>
    <row r="936" spans="7:7" ht="12" customHeight="1">
      <c r="G936" s="57"/>
    </row>
    <row r="937" spans="7:7" ht="12" customHeight="1">
      <c r="G937" s="57"/>
    </row>
    <row r="938" spans="7:7" ht="12" customHeight="1">
      <c r="G938" s="57"/>
    </row>
    <row r="939" spans="7:7" ht="12" customHeight="1">
      <c r="G939" s="57"/>
    </row>
    <row r="940" spans="7:7" ht="12" customHeight="1">
      <c r="G940" s="57"/>
    </row>
    <row r="941" spans="7:7" ht="12" customHeight="1">
      <c r="G941" s="57"/>
    </row>
    <row r="942" spans="7:7" ht="12" customHeight="1">
      <c r="G942" s="57"/>
    </row>
    <row r="943" spans="7:7" ht="12" customHeight="1">
      <c r="G943" s="57"/>
    </row>
    <row r="944" spans="7:7" ht="12" customHeight="1">
      <c r="G944" s="57"/>
    </row>
    <row r="945" spans="7:7" ht="12" customHeight="1">
      <c r="G945" s="57"/>
    </row>
    <row r="946" spans="7:7" ht="12" customHeight="1">
      <c r="G946" s="57"/>
    </row>
    <row r="947" spans="7:7" ht="12" customHeight="1">
      <c r="G947" s="57"/>
    </row>
    <row r="948" spans="7:7" ht="12" customHeight="1">
      <c r="G948" s="57"/>
    </row>
    <row r="949" spans="7:7" ht="12" customHeight="1">
      <c r="G949" s="57"/>
    </row>
    <row r="950" spans="7:7" ht="12" customHeight="1">
      <c r="G950" s="57"/>
    </row>
    <row r="951" spans="7:7" ht="12" customHeight="1">
      <c r="G951" s="57"/>
    </row>
    <row r="952" spans="7:7" ht="12" customHeight="1">
      <c r="G952" s="57"/>
    </row>
    <row r="953" spans="7:7" ht="12" customHeight="1">
      <c r="G953" s="57"/>
    </row>
    <row r="954" spans="7:7" ht="12" customHeight="1">
      <c r="G954" s="57"/>
    </row>
    <row r="955" spans="7:7" ht="12" customHeight="1">
      <c r="G955" s="57"/>
    </row>
    <row r="956" spans="7:7" ht="12" customHeight="1">
      <c r="G956" s="57"/>
    </row>
    <row r="957" spans="7:7" ht="12" customHeight="1">
      <c r="G957" s="57"/>
    </row>
    <row r="958" spans="7:7" ht="12" customHeight="1">
      <c r="G958" s="57"/>
    </row>
    <row r="959" spans="7:7" ht="12" customHeight="1">
      <c r="G959" s="57"/>
    </row>
    <row r="960" spans="7:7" ht="12" customHeight="1">
      <c r="G960" s="57"/>
    </row>
    <row r="961" spans="7:7" ht="12" customHeight="1">
      <c r="G961" s="57"/>
    </row>
    <row r="962" spans="7:7" ht="12" customHeight="1">
      <c r="G962" s="57"/>
    </row>
    <row r="963" spans="7:7" ht="12" customHeight="1">
      <c r="G963" s="57"/>
    </row>
    <row r="964" spans="7:7" ht="12" customHeight="1">
      <c r="G964" s="57"/>
    </row>
    <row r="965" spans="7:7" ht="12" customHeight="1">
      <c r="G965" s="57"/>
    </row>
    <row r="966" spans="7:7" ht="12" customHeight="1">
      <c r="G966" s="57"/>
    </row>
    <row r="967" spans="7:7" ht="12" customHeight="1">
      <c r="G967" s="57"/>
    </row>
    <row r="968" spans="7:7" ht="12" customHeight="1">
      <c r="G968" s="57"/>
    </row>
    <row r="969" spans="7:7" ht="12" customHeight="1">
      <c r="G969" s="57"/>
    </row>
    <row r="970" spans="7:7" ht="12" customHeight="1">
      <c r="G970" s="57"/>
    </row>
    <row r="971" spans="7:7" ht="12" customHeight="1">
      <c r="G971" s="57"/>
    </row>
    <row r="972" spans="7:7" ht="12" customHeight="1">
      <c r="G972" s="57"/>
    </row>
    <row r="973" spans="7:7" ht="12" customHeight="1">
      <c r="G973" s="57"/>
    </row>
    <row r="974" spans="7:7" ht="12" customHeight="1">
      <c r="G974" s="57"/>
    </row>
    <row r="975" spans="7:7" ht="12" customHeight="1">
      <c r="G975" s="57"/>
    </row>
    <row r="976" spans="7:7" ht="12" customHeight="1">
      <c r="G976" s="57"/>
    </row>
    <row r="977" spans="7:7" ht="12" customHeight="1">
      <c r="G977" s="57"/>
    </row>
    <row r="978" spans="7:7" ht="12" customHeight="1">
      <c r="G978" s="57"/>
    </row>
    <row r="979" spans="7:7" ht="12" customHeight="1">
      <c r="G979" s="57"/>
    </row>
    <row r="980" spans="7:7" ht="12" customHeight="1">
      <c r="G980" s="57"/>
    </row>
    <row r="981" spans="7:7" ht="12" customHeight="1">
      <c r="G981" s="57"/>
    </row>
    <row r="982" spans="7:7" ht="12" customHeight="1">
      <c r="G982" s="57"/>
    </row>
    <row r="983" spans="7:7" ht="12" customHeight="1">
      <c r="G983" s="57"/>
    </row>
    <row r="984" spans="7:7" ht="12" customHeight="1">
      <c r="G984" s="57"/>
    </row>
    <row r="985" spans="7:7" ht="12" customHeight="1">
      <c r="G985" s="57"/>
    </row>
    <row r="986" spans="7:7" ht="12" customHeight="1">
      <c r="G986" s="57"/>
    </row>
    <row r="987" spans="7:7" ht="12" customHeight="1">
      <c r="G987" s="57"/>
    </row>
    <row r="988" spans="7:7" ht="12" customHeight="1">
      <c r="G988" s="57"/>
    </row>
    <row r="989" spans="7:7" ht="12" customHeight="1">
      <c r="G989" s="57"/>
    </row>
    <row r="990" spans="7:7" ht="12" customHeight="1">
      <c r="G990" s="57"/>
    </row>
    <row r="991" spans="7:7" ht="12" customHeight="1">
      <c r="G991" s="57"/>
    </row>
    <row r="992" spans="7:7" ht="12" customHeight="1">
      <c r="G992" s="57"/>
    </row>
    <row r="993" spans="7:7" ht="12" customHeight="1">
      <c r="G993" s="57"/>
    </row>
    <row r="994" spans="7:7" ht="12" customHeight="1">
      <c r="G994" s="57"/>
    </row>
    <row r="995" spans="7:7" ht="12" customHeight="1">
      <c r="G995" s="57"/>
    </row>
    <row r="996" spans="7:7" ht="12" customHeight="1">
      <c r="G996" s="57"/>
    </row>
    <row r="997" spans="7:7" ht="12" customHeight="1">
      <c r="G997" s="57"/>
    </row>
    <row r="998" spans="7:7" ht="12" customHeight="1">
      <c r="G998" s="57"/>
    </row>
    <row r="999" spans="7:7" ht="12" customHeight="1">
      <c r="G999" s="57"/>
    </row>
    <row r="1000" spans="7:7" ht="12" customHeight="1">
      <c r="G1000" s="57"/>
    </row>
  </sheetData>
  <conditionalFormatting sqref="A4:A58 A64:A103">
    <cfRule type="expression" priority="2">
      <formula>roundup</formula>
    </cfRule>
  </conditionalFormatting>
  <dataValidations count="1">
    <dataValidation type="custom" allowBlank="1" showDropDown="1" sqref="J2:J43 P2:P45" xr:uid="{00000000-0002-0000-1000-000000000000}">
      <formula1>AND(ISNUMBER(J2),(NOT(OR(NOT(ISERROR(DATEVALUE(J2))), AND(ISNUMBER(J2), LEFT(CELL("format", J2))="D")))))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8"/>
  <sheetViews>
    <sheetView zoomScaleNormal="100" workbookViewId="0">
      <selection activeCell="E2" sqref="E2"/>
    </sheetView>
  </sheetViews>
  <sheetFormatPr defaultColWidth="12.6328125" defaultRowHeight="12.5"/>
  <cols>
    <col min="6" max="6" width="19.1796875" customWidth="1"/>
    <col min="7" max="7" width="19.453125" customWidth="1"/>
  </cols>
  <sheetData>
    <row r="1" spans="1:16" ht="15.75" customHeight="1">
      <c r="A1" s="47" t="s">
        <v>751</v>
      </c>
      <c r="B1" s="47" t="s">
        <v>752</v>
      </c>
      <c r="C1" s="47" t="s">
        <v>753</v>
      </c>
      <c r="D1" s="47" t="s">
        <v>754</v>
      </c>
      <c r="E1" s="47" t="s">
        <v>755</v>
      </c>
      <c r="F1" s="47" t="s">
        <v>756</v>
      </c>
      <c r="G1" s="47" t="s">
        <v>757</v>
      </c>
      <c r="H1" s="47" t="s">
        <v>758</v>
      </c>
      <c r="L1" s="44" t="s">
        <v>545</v>
      </c>
      <c r="M1" s="83" t="s">
        <v>546</v>
      </c>
      <c r="N1" s="45" t="s">
        <v>657</v>
      </c>
      <c r="O1" s="45" t="s">
        <v>658</v>
      </c>
      <c r="P1" s="84" t="s">
        <v>659</v>
      </c>
    </row>
    <row r="2" spans="1:16" ht="15.75" customHeight="1">
      <c r="A2" s="159">
        <v>28496</v>
      </c>
      <c r="B2" s="157" t="s">
        <v>158</v>
      </c>
      <c r="C2" s="155" t="s">
        <v>551</v>
      </c>
      <c r="D2" s="155" t="s">
        <v>552</v>
      </c>
      <c r="E2" s="47">
        <v>18</v>
      </c>
      <c r="F2" s="160">
        <f t="shared" ref="F2:F16" si="0">ROUNDUP(A2/E2,0)</f>
        <v>1584</v>
      </c>
      <c r="G2" s="56">
        <v>5280</v>
      </c>
      <c r="H2" s="161" t="b">
        <f t="shared" ref="H2:H16" si="1">IF(G2&gt;F2,TRUE())</f>
        <v>1</v>
      </c>
      <c r="L2" s="86" t="s">
        <v>32</v>
      </c>
      <c r="M2" s="87">
        <v>280</v>
      </c>
      <c r="N2" s="49"/>
      <c r="O2" s="49">
        <v>4</v>
      </c>
      <c r="P2" s="88">
        <f>6800/4</f>
        <v>1700</v>
      </c>
    </row>
    <row r="3" spans="1:16" ht="15.75" customHeight="1">
      <c r="A3" s="159">
        <v>6252</v>
      </c>
      <c r="B3" s="157" t="s">
        <v>162</v>
      </c>
      <c r="C3" s="155" t="s">
        <v>556</v>
      </c>
      <c r="D3" s="155" t="s">
        <v>552</v>
      </c>
      <c r="E3" s="47">
        <v>7</v>
      </c>
      <c r="F3" s="160">
        <f t="shared" si="0"/>
        <v>894</v>
      </c>
      <c r="G3" s="56">
        <v>1640</v>
      </c>
      <c r="H3" s="161" t="b">
        <f t="shared" si="1"/>
        <v>1</v>
      </c>
      <c r="L3" s="86" t="s">
        <v>34</v>
      </c>
      <c r="M3" s="87">
        <v>200</v>
      </c>
      <c r="N3" s="49"/>
      <c r="O3" s="49">
        <v>7</v>
      </c>
      <c r="P3" s="88">
        <f>6800/7</f>
        <v>971.42857142857144</v>
      </c>
    </row>
    <row r="4" spans="1:16" ht="15.75" customHeight="1">
      <c r="A4" s="159">
        <v>17216</v>
      </c>
      <c r="B4" s="155" t="s">
        <v>160</v>
      </c>
      <c r="C4" s="155" t="s">
        <v>558</v>
      </c>
      <c r="D4" s="155" t="s">
        <v>552</v>
      </c>
      <c r="E4" s="47">
        <v>24</v>
      </c>
      <c r="F4" s="160">
        <f t="shared" si="0"/>
        <v>718</v>
      </c>
      <c r="G4" s="56">
        <v>1600</v>
      </c>
      <c r="H4" s="161" t="b">
        <f t="shared" si="1"/>
        <v>1</v>
      </c>
      <c r="L4" s="86" t="s">
        <v>35</v>
      </c>
      <c r="M4" s="87">
        <v>120</v>
      </c>
      <c r="N4" s="49"/>
      <c r="O4" s="49">
        <v>8</v>
      </c>
      <c r="P4" s="88">
        <f>10000/4</f>
        <v>2500</v>
      </c>
    </row>
    <row r="5" spans="1:16" ht="15.75" customHeight="1">
      <c r="A5" s="159">
        <v>8800</v>
      </c>
      <c r="B5" s="157" t="s">
        <v>164</v>
      </c>
      <c r="C5" s="155" t="s">
        <v>560</v>
      </c>
      <c r="D5" s="155" t="s">
        <v>552</v>
      </c>
      <c r="E5" s="47">
        <v>27</v>
      </c>
      <c r="F5" s="160">
        <f t="shared" si="0"/>
        <v>326</v>
      </c>
      <c r="G5" s="56">
        <v>2920</v>
      </c>
      <c r="H5" s="161" t="b">
        <f t="shared" si="1"/>
        <v>1</v>
      </c>
      <c r="L5" s="86" t="s">
        <v>36</v>
      </c>
      <c r="M5" s="87">
        <v>80</v>
      </c>
      <c r="N5" s="49"/>
      <c r="O5" s="49">
        <v>10</v>
      </c>
      <c r="P5" s="88">
        <f>10000/10</f>
        <v>1000</v>
      </c>
    </row>
    <row r="6" spans="1:16" ht="15.75" customHeight="1">
      <c r="A6" s="159">
        <v>6680</v>
      </c>
      <c r="B6" s="157" t="s">
        <v>166</v>
      </c>
      <c r="C6" s="155" t="s">
        <v>562</v>
      </c>
      <c r="D6" s="155" t="s">
        <v>552</v>
      </c>
      <c r="E6" s="47">
        <v>11</v>
      </c>
      <c r="F6" s="160">
        <f t="shared" si="0"/>
        <v>608</v>
      </c>
      <c r="G6" s="56">
        <v>3400</v>
      </c>
      <c r="H6" s="161" t="b">
        <f t="shared" si="1"/>
        <v>1</v>
      </c>
      <c r="L6" s="86" t="s">
        <v>37</v>
      </c>
      <c r="M6" s="87">
        <v>5</v>
      </c>
      <c r="N6" s="49"/>
      <c r="O6" s="49">
        <v>15</v>
      </c>
      <c r="P6" s="88">
        <f>10000/15</f>
        <v>666.66666666666663</v>
      </c>
    </row>
    <row r="7" spans="1:16" ht="15.75" customHeight="1">
      <c r="A7" s="159">
        <v>7491</v>
      </c>
      <c r="B7" s="157" t="s">
        <v>168</v>
      </c>
      <c r="C7" s="155" t="s">
        <v>564</v>
      </c>
      <c r="D7" s="155" t="s">
        <v>552</v>
      </c>
      <c r="E7" s="47">
        <v>10</v>
      </c>
      <c r="F7" s="160">
        <f t="shared" si="0"/>
        <v>750</v>
      </c>
      <c r="G7" s="56">
        <v>1560</v>
      </c>
      <c r="H7" s="161" t="b">
        <f t="shared" si="1"/>
        <v>1</v>
      </c>
    </row>
    <row r="8" spans="1:16" ht="15.75" customHeight="1">
      <c r="A8" s="159">
        <v>16518</v>
      </c>
      <c r="B8" s="157" t="s">
        <v>170</v>
      </c>
      <c r="C8" s="155" t="s">
        <v>595</v>
      </c>
      <c r="D8" s="155" t="s">
        <v>596</v>
      </c>
      <c r="E8" s="47">
        <v>9</v>
      </c>
      <c r="F8" s="160">
        <f t="shared" si="0"/>
        <v>1836</v>
      </c>
      <c r="G8" s="56">
        <v>2880</v>
      </c>
      <c r="H8" s="161" t="b">
        <f t="shared" si="1"/>
        <v>1</v>
      </c>
    </row>
    <row r="9" spans="1:16" ht="15.75" customHeight="1">
      <c r="A9" s="159">
        <v>22620</v>
      </c>
      <c r="B9" s="157" t="s">
        <v>172</v>
      </c>
      <c r="C9" s="155" t="s">
        <v>598</v>
      </c>
      <c r="D9" s="155" t="s">
        <v>596</v>
      </c>
      <c r="E9" s="47">
        <v>20</v>
      </c>
      <c r="F9" s="160">
        <f t="shared" si="0"/>
        <v>1131</v>
      </c>
      <c r="G9" s="56">
        <v>5280</v>
      </c>
      <c r="H9" s="161" t="b">
        <f t="shared" si="1"/>
        <v>1</v>
      </c>
      <c r="L9" s="44" t="s">
        <v>545</v>
      </c>
      <c r="M9" s="45" t="s">
        <v>546</v>
      </c>
    </row>
    <row r="10" spans="1:16" ht="15.75" customHeight="1">
      <c r="A10" s="159">
        <v>2879</v>
      </c>
      <c r="B10" s="157" t="s">
        <v>174</v>
      </c>
      <c r="C10" s="155" t="s">
        <v>599</v>
      </c>
      <c r="D10" s="155" t="s">
        <v>596</v>
      </c>
      <c r="E10" s="47">
        <v>3</v>
      </c>
      <c r="F10" s="160">
        <f t="shared" si="0"/>
        <v>960</v>
      </c>
      <c r="G10" s="56">
        <v>520</v>
      </c>
      <c r="H10" s="161" t="b">
        <f t="shared" si="1"/>
        <v>0</v>
      </c>
      <c r="L10" s="48" t="s">
        <v>43</v>
      </c>
      <c r="M10" s="49">
        <v>2360</v>
      </c>
    </row>
    <row r="11" spans="1:16" ht="15.75" customHeight="1">
      <c r="A11" s="159">
        <v>2010</v>
      </c>
      <c r="B11" s="157" t="s">
        <v>175</v>
      </c>
      <c r="C11" s="155" t="s">
        <v>601</v>
      </c>
      <c r="D11" s="155" t="s">
        <v>596</v>
      </c>
      <c r="E11" s="47">
        <v>3</v>
      </c>
      <c r="F11" s="160">
        <f t="shared" si="0"/>
        <v>670</v>
      </c>
      <c r="G11" s="56">
        <v>5280</v>
      </c>
      <c r="H11" s="161" t="b">
        <f t="shared" si="1"/>
        <v>1</v>
      </c>
      <c r="L11" s="48" t="s">
        <v>45</v>
      </c>
      <c r="M11" s="49">
        <v>1600</v>
      </c>
    </row>
    <row r="12" spans="1:16" ht="15.75" customHeight="1">
      <c r="A12" s="159">
        <v>4632</v>
      </c>
      <c r="B12" s="157" t="s">
        <v>177</v>
      </c>
      <c r="C12" s="155" t="s">
        <v>603</v>
      </c>
      <c r="D12" s="155" t="s">
        <v>596</v>
      </c>
      <c r="E12" s="47">
        <v>4</v>
      </c>
      <c r="F12" s="160">
        <f t="shared" si="0"/>
        <v>1158</v>
      </c>
      <c r="G12" s="56">
        <v>1040</v>
      </c>
      <c r="H12" s="161" t="b">
        <f t="shared" si="1"/>
        <v>0</v>
      </c>
      <c r="L12" s="48" t="s">
        <v>47</v>
      </c>
      <c r="M12" s="49">
        <v>1160</v>
      </c>
    </row>
    <row r="13" spans="1:16" ht="15.75" customHeight="1">
      <c r="A13" s="159">
        <v>8377</v>
      </c>
      <c r="B13" s="157" t="s">
        <v>179</v>
      </c>
      <c r="C13" s="155" t="s">
        <v>605</v>
      </c>
      <c r="D13" s="155" t="s">
        <v>596</v>
      </c>
      <c r="E13" s="47">
        <v>8</v>
      </c>
      <c r="F13" s="160">
        <f t="shared" si="0"/>
        <v>1048</v>
      </c>
      <c r="G13" s="56">
        <v>5280</v>
      </c>
      <c r="H13" s="161" t="b">
        <f t="shared" si="1"/>
        <v>1</v>
      </c>
      <c r="L13" s="48" t="s">
        <v>49</v>
      </c>
      <c r="M13" s="49">
        <v>880</v>
      </c>
    </row>
    <row r="14" spans="1:16" ht="15.75" customHeight="1">
      <c r="A14" s="159">
        <v>11295</v>
      </c>
      <c r="B14" s="157" t="s">
        <v>181</v>
      </c>
      <c r="C14" s="155" t="s">
        <v>606</v>
      </c>
      <c r="D14" s="155" t="s">
        <v>596</v>
      </c>
      <c r="E14" s="47">
        <v>10</v>
      </c>
      <c r="F14" s="160">
        <f t="shared" si="0"/>
        <v>1130</v>
      </c>
      <c r="G14" s="56">
        <v>1800</v>
      </c>
      <c r="H14" s="161" t="b">
        <f t="shared" si="1"/>
        <v>1</v>
      </c>
      <c r="L14" s="48" t="s">
        <v>32</v>
      </c>
      <c r="M14" s="49">
        <v>280</v>
      </c>
    </row>
    <row r="15" spans="1:16" ht="15.75" customHeight="1">
      <c r="A15" s="159">
        <v>4316</v>
      </c>
      <c r="B15" s="157" t="s">
        <v>182</v>
      </c>
      <c r="C15" s="155" t="s">
        <v>607</v>
      </c>
      <c r="D15" s="155" t="s">
        <v>596</v>
      </c>
      <c r="E15" s="47">
        <v>5</v>
      </c>
      <c r="F15" s="160">
        <f t="shared" si="0"/>
        <v>864</v>
      </c>
      <c r="G15" s="56">
        <v>1000</v>
      </c>
      <c r="H15" s="161" t="b">
        <f t="shared" si="1"/>
        <v>1</v>
      </c>
    </row>
    <row r="16" spans="1:16" ht="15.75" customHeight="1">
      <c r="A16" s="159">
        <v>12523</v>
      </c>
      <c r="B16" s="155" t="s">
        <v>184</v>
      </c>
      <c r="C16" s="155" t="s">
        <v>609</v>
      </c>
      <c r="D16" s="155" t="s">
        <v>596</v>
      </c>
      <c r="E16" s="47">
        <v>6</v>
      </c>
      <c r="F16" s="160">
        <f t="shared" si="0"/>
        <v>2088</v>
      </c>
      <c r="G16" s="56">
        <v>520</v>
      </c>
      <c r="H16" s="161" t="b">
        <f t="shared" si="1"/>
        <v>0</v>
      </c>
    </row>
    <row r="17" spans="6:8" ht="15.75" customHeight="1">
      <c r="F17" s="161"/>
      <c r="G17" s="161"/>
      <c r="H17" s="161"/>
    </row>
    <row r="18" spans="6:8" ht="15.75" customHeight="1">
      <c r="F18" s="161"/>
      <c r="G18" s="161"/>
      <c r="H18" s="161"/>
    </row>
    <row r="19" spans="6:8" ht="15.75" customHeight="1">
      <c r="F19" s="161"/>
      <c r="G19" s="161"/>
      <c r="H19" s="161"/>
    </row>
    <row r="20" spans="6:8" ht="15.75" customHeight="1">
      <c r="F20" s="161"/>
      <c r="G20" s="161"/>
      <c r="H20" s="161"/>
    </row>
    <row r="21" spans="6:8" ht="15.75" customHeight="1">
      <c r="F21" s="161"/>
      <c r="G21" s="161"/>
      <c r="H21" s="161"/>
    </row>
    <row r="22" spans="6:8" ht="15.75" customHeight="1">
      <c r="F22" s="161"/>
      <c r="G22" s="161"/>
      <c r="H22" s="161"/>
    </row>
    <row r="23" spans="6:8" ht="15.75" customHeight="1">
      <c r="F23" s="161"/>
      <c r="G23" s="161"/>
      <c r="H23" s="161"/>
    </row>
    <row r="24" spans="6:8" ht="15.75" customHeight="1">
      <c r="F24" s="161"/>
      <c r="G24" s="161"/>
      <c r="H24" s="161"/>
    </row>
    <row r="25" spans="6:8" ht="15.75" customHeight="1">
      <c r="F25" s="161"/>
      <c r="G25" s="161"/>
      <c r="H25" s="161"/>
    </row>
    <row r="26" spans="6:8" ht="15.75" customHeight="1">
      <c r="F26" s="161"/>
      <c r="G26" s="161"/>
      <c r="H26" s="161"/>
    </row>
    <row r="27" spans="6:8" ht="15.75" customHeight="1">
      <c r="F27" s="161"/>
      <c r="G27" s="161"/>
      <c r="H27" s="161"/>
    </row>
    <row r="28" spans="6:8" ht="15.75" customHeight="1">
      <c r="F28" s="161"/>
      <c r="G28" s="161"/>
      <c r="H28" s="161"/>
    </row>
  </sheetData>
  <conditionalFormatting sqref="A1:A16">
    <cfRule type="expression" priority="2">
      <formula>roundup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S60"/>
  <sheetViews>
    <sheetView topLeftCell="A33" zoomScaleNormal="100" workbookViewId="0">
      <selection activeCell="C2" sqref="C2"/>
    </sheetView>
  </sheetViews>
  <sheetFormatPr defaultColWidth="12.6328125" defaultRowHeight="12.5"/>
  <cols>
    <col min="2" max="2" width="23.08984375" customWidth="1"/>
    <col min="6" max="6" width="14.6328125" customWidth="1"/>
    <col min="8" max="8" width="18.90625" customWidth="1"/>
    <col min="9" max="9" width="21.26953125" customWidth="1"/>
    <col min="10" max="11" width="13.90625" customWidth="1"/>
    <col min="12" max="12" width="16" customWidth="1"/>
    <col min="13" max="13" width="17" customWidth="1"/>
    <col min="14" max="15" width="16" customWidth="1"/>
    <col min="16" max="16" width="18" customWidth="1"/>
    <col min="17" max="17" width="38" customWidth="1"/>
    <col min="18" max="18" width="32.26953125" customWidth="1"/>
    <col min="19" max="19" width="43.36328125" customWidth="1"/>
  </cols>
  <sheetData>
    <row r="1" spans="1:17" ht="15.75" customHeight="1">
      <c r="A1" s="162" t="s">
        <v>759</v>
      </c>
      <c r="B1" s="162" t="s">
        <v>760</v>
      </c>
      <c r="C1" s="162" t="s">
        <v>761</v>
      </c>
      <c r="D1" s="162" t="s">
        <v>762</v>
      </c>
      <c r="E1" s="162" t="s">
        <v>763</v>
      </c>
      <c r="F1" s="162" t="s">
        <v>656</v>
      </c>
      <c r="G1" s="162" t="s">
        <v>764</v>
      </c>
      <c r="H1" s="162" t="s">
        <v>765</v>
      </c>
      <c r="I1" s="163" t="s">
        <v>766</v>
      </c>
      <c r="K1" s="13" t="s">
        <v>767</v>
      </c>
      <c r="L1" s="13"/>
      <c r="M1" s="13"/>
      <c r="N1" s="13"/>
      <c r="O1" s="13"/>
      <c r="P1" s="13"/>
      <c r="Q1" s="13"/>
    </row>
    <row r="2" spans="1:17" ht="15.75" customHeight="1">
      <c r="A2" s="213" t="s">
        <v>172</v>
      </c>
      <c r="B2" s="164" t="s">
        <v>768</v>
      </c>
      <c r="C2" s="165">
        <v>2</v>
      </c>
      <c r="D2" s="165">
        <v>63</v>
      </c>
      <c r="E2" s="166">
        <v>12496</v>
      </c>
      <c r="F2" s="167">
        <v>8864575</v>
      </c>
      <c r="G2" s="213">
        <v>8</v>
      </c>
      <c r="H2" s="213">
        <v>46</v>
      </c>
      <c r="I2" s="214">
        <f>(G2)* 3825443.7</f>
        <v>30603549.600000001</v>
      </c>
      <c r="K2" s="16" t="s">
        <v>759</v>
      </c>
      <c r="L2" s="16" t="s">
        <v>656</v>
      </c>
      <c r="M2" s="16" t="s">
        <v>769</v>
      </c>
      <c r="N2" s="16" t="s">
        <v>770</v>
      </c>
      <c r="O2" s="16" t="s">
        <v>771</v>
      </c>
      <c r="P2" s="16" t="s">
        <v>772</v>
      </c>
      <c r="Q2" s="16" t="s">
        <v>773</v>
      </c>
    </row>
    <row r="3" spans="1:17" ht="15.75" customHeight="1">
      <c r="A3" s="213"/>
      <c r="B3" s="164" t="s">
        <v>774</v>
      </c>
      <c r="C3" s="165">
        <v>1</v>
      </c>
      <c r="D3" s="165">
        <v>39</v>
      </c>
      <c r="E3" s="166">
        <v>7766</v>
      </c>
      <c r="F3" s="167">
        <v>7695005</v>
      </c>
      <c r="G3" s="213"/>
      <c r="H3" s="213"/>
      <c r="I3" s="213"/>
      <c r="K3" s="168" t="s">
        <v>172</v>
      </c>
      <c r="L3" s="33">
        <f>F5</f>
        <v>18574137</v>
      </c>
      <c r="M3" s="33">
        <v>26243373.331999999</v>
      </c>
      <c r="N3" s="33">
        <f>I2</f>
        <v>30603549.600000001</v>
      </c>
      <c r="O3" s="33">
        <f>IFERROR(VLOOKUP(K3,'Biaya Staff'!$B$2:$H$28,7,FALSE()),0)</f>
        <v>32154437</v>
      </c>
      <c r="P3" s="169">
        <f t="shared" ref="P3:P16" si="0">L3+M3+N3+O3</f>
        <v>107575496.93200001</v>
      </c>
      <c r="Q3" s="32" t="s">
        <v>775</v>
      </c>
    </row>
    <row r="4" spans="1:17" ht="15.75" customHeight="1">
      <c r="A4" s="213"/>
      <c r="B4" s="164" t="s">
        <v>776</v>
      </c>
      <c r="C4" s="165">
        <v>1</v>
      </c>
      <c r="D4" s="165">
        <v>22</v>
      </c>
      <c r="E4" s="166">
        <v>4287</v>
      </c>
      <c r="F4" s="167">
        <v>2014556</v>
      </c>
      <c r="G4" s="213"/>
      <c r="H4" s="213"/>
      <c r="I4" s="213"/>
      <c r="K4" s="168" t="s">
        <v>160</v>
      </c>
      <c r="L4" s="33">
        <f>F10</f>
        <v>59814875</v>
      </c>
      <c r="M4" s="33">
        <v>56400000</v>
      </c>
      <c r="N4" s="33">
        <f>I6</f>
        <v>75737265.199999988</v>
      </c>
      <c r="O4" s="33">
        <f>IFERROR(VLOOKUP(K4,'Biaya Staff'!$B$2:$H$28,7,FALSE()),0)</f>
        <v>26570762.609999999</v>
      </c>
      <c r="P4" s="169">
        <f t="shared" si="0"/>
        <v>218522902.81</v>
      </c>
      <c r="Q4" s="32" t="s">
        <v>777</v>
      </c>
    </row>
    <row r="5" spans="1:17" ht="15.75" customHeight="1">
      <c r="A5" s="213"/>
      <c r="B5" s="164" t="s">
        <v>778</v>
      </c>
      <c r="C5" s="165">
        <v>4</v>
      </c>
      <c r="D5" s="170"/>
      <c r="E5" s="171">
        <v>24549</v>
      </c>
      <c r="F5" s="172">
        <v>18574137</v>
      </c>
      <c r="G5" s="213"/>
      <c r="H5" s="213"/>
      <c r="I5" s="213"/>
      <c r="K5" s="168" t="s">
        <v>175</v>
      </c>
      <c r="L5" s="33">
        <f>F12</f>
        <v>402560</v>
      </c>
      <c r="M5" s="33">
        <v>6560843.3329999996</v>
      </c>
      <c r="N5" s="33">
        <f>I11</f>
        <v>6430887.4000000004</v>
      </c>
      <c r="O5" s="33">
        <f>IFERROR(VLOOKUP(K5,'Biaya Staff'!$B$2:$H$28,7,FALSE()),0)</f>
        <v>16077218.5</v>
      </c>
      <c r="P5" s="169">
        <f t="shared" si="0"/>
        <v>29471509.232999999</v>
      </c>
      <c r="Q5" s="32" t="s">
        <v>779</v>
      </c>
    </row>
    <row r="6" spans="1:17" ht="15.75" customHeight="1">
      <c r="A6" s="213" t="s">
        <v>160</v>
      </c>
      <c r="B6" s="164" t="s">
        <v>780</v>
      </c>
      <c r="C6" s="165">
        <v>1</v>
      </c>
      <c r="D6" s="165">
        <v>7</v>
      </c>
      <c r="E6" s="165">
        <v>1919</v>
      </c>
      <c r="F6" s="167">
        <v>2135872</v>
      </c>
      <c r="G6" s="213">
        <v>20</v>
      </c>
      <c r="H6" s="213">
        <v>8</v>
      </c>
      <c r="I6" s="215">
        <f>G6* 3786863.26</f>
        <v>75737265.199999988</v>
      </c>
      <c r="K6" s="168" t="s">
        <v>177</v>
      </c>
      <c r="L6" s="33">
        <f>F14</f>
        <v>7998945</v>
      </c>
      <c r="M6" s="33">
        <v>6560843.3329999996</v>
      </c>
      <c r="N6" s="33">
        <f>I13</f>
        <v>7684406</v>
      </c>
      <c r="O6" s="33">
        <f>IFERROR(VLOOKUP(K6,'Biaya Staff'!$B$2:$H$28,7,FALSE()),0)</f>
        <v>32322030</v>
      </c>
      <c r="P6" s="169">
        <f t="shared" si="0"/>
        <v>54566224.333000004</v>
      </c>
      <c r="Q6" s="32" t="s">
        <v>781</v>
      </c>
    </row>
    <row r="7" spans="1:17" ht="15.75" customHeight="1">
      <c r="A7" s="213"/>
      <c r="B7" s="164" t="s">
        <v>782</v>
      </c>
      <c r="C7" s="165">
        <v>6</v>
      </c>
      <c r="D7" s="165">
        <v>43</v>
      </c>
      <c r="E7" s="165">
        <v>8540</v>
      </c>
      <c r="F7" s="167">
        <v>43709330</v>
      </c>
      <c r="G7" s="213"/>
      <c r="H7" s="213"/>
      <c r="I7" s="215"/>
      <c r="K7" s="168" t="s">
        <v>179</v>
      </c>
      <c r="L7" s="33">
        <f>F18</f>
        <v>13430777</v>
      </c>
      <c r="M7" s="33">
        <v>19682529.999000002</v>
      </c>
      <c r="N7" s="33">
        <f>I15</f>
        <v>19292662.200000003</v>
      </c>
      <c r="O7" s="33">
        <f>IFERROR(VLOOKUP(K7,'Biaya Staff'!$B$2:$H$28,7,FALSE()),0)</f>
        <v>32154437</v>
      </c>
      <c r="P7" s="169">
        <f t="shared" si="0"/>
        <v>84560406.199000001</v>
      </c>
      <c r="Q7" s="32" t="s">
        <v>783</v>
      </c>
    </row>
    <row r="8" spans="1:17" ht="15.75" customHeight="1">
      <c r="A8" s="213"/>
      <c r="B8" s="164" t="s">
        <v>784</v>
      </c>
      <c r="C8" s="165">
        <v>2</v>
      </c>
      <c r="D8" s="165">
        <v>14</v>
      </c>
      <c r="E8" s="165">
        <v>2709</v>
      </c>
      <c r="F8" s="167">
        <v>12574818</v>
      </c>
      <c r="G8" s="213"/>
      <c r="H8" s="213"/>
      <c r="I8" s="215"/>
      <c r="K8" s="168" t="s">
        <v>182</v>
      </c>
      <c r="L8" s="33">
        <f>F20</f>
        <v>32527874</v>
      </c>
      <c r="M8" s="33">
        <v>6560843.3329999996</v>
      </c>
      <c r="N8" s="33">
        <f>I19</f>
        <v>7698866</v>
      </c>
      <c r="O8" s="33">
        <f>IFERROR(VLOOKUP(K8,'Biaya Staff'!$B$2:$H$28,7,FALSE()),0)</f>
        <v>29154897</v>
      </c>
      <c r="P8" s="169">
        <f t="shared" si="0"/>
        <v>75942480.333000004</v>
      </c>
      <c r="Q8" s="32" t="s">
        <v>785</v>
      </c>
    </row>
    <row r="9" spans="1:17" ht="15.75" customHeight="1">
      <c r="A9" s="213"/>
      <c r="B9" s="164" t="s">
        <v>786</v>
      </c>
      <c r="C9" s="165">
        <v>1</v>
      </c>
      <c r="D9" s="165">
        <v>8</v>
      </c>
      <c r="E9" s="165">
        <v>1600</v>
      </c>
      <c r="F9" s="167">
        <v>1394855</v>
      </c>
      <c r="G9" s="213"/>
      <c r="H9" s="213"/>
      <c r="I9" s="215"/>
      <c r="K9" s="168" t="s">
        <v>162</v>
      </c>
      <c r="L9" s="33">
        <f>F24</f>
        <v>6771810</v>
      </c>
      <c r="M9" s="33">
        <v>14500000</v>
      </c>
      <c r="N9" s="33">
        <f>I21</f>
        <v>21595021.5</v>
      </c>
      <c r="O9" s="33">
        <f>IFERROR(VLOOKUP(K9,'Biaya Staff'!$B$2:$H$28,7,FALSE()),0)</f>
        <v>32392532.25</v>
      </c>
      <c r="P9" s="169">
        <f t="shared" si="0"/>
        <v>75259363.75</v>
      </c>
      <c r="Q9" s="32" t="s">
        <v>787</v>
      </c>
    </row>
    <row r="10" spans="1:17" ht="15.75" customHeight="1">
      <c r="A10" s="213"/>
      <c r="B10" s="164" t="s">
        <v>778</v>
      </c>
      <c r="C10" s="165">
        <v>10</v>
      </c>
      <c r="D10" s="170"/>
      <c r="E10" s="171">
        <v>14768</v>
      </c>
      <c r="F10" s="172">
        <v>59814875</v>
      </c>
      <c r="G10" s="213"/>
      <c r="H10" s="213"/>
      <c r="I10" s="215"/>
      <c r="K10" s="168" t="s">
        <v>166</v>
      </c>
      <c r="L10" s="33">
        <f>F30</f>
        <v>21920153</v>
      </c>
      <c r="M10" s="33">
        <v>27000000</v>
      </c>
      <c r="N10" s="33">
        <f>I25</f>
        <v>52685334</v>
      </c>
      <c r="O10" s="33">
        <f>IFERROR(VLOOKUP(K10,'Biaya Staff'!$B$2:$H$28,7,FALSE()),0)</f>
        <v>43904445</v>
      </c>
      <c r="P10" s="169">
        <f t="shared" si="0"/>
        <v>145509932</v>
      </c>
      <c r="Q10" s="32" t="s">
        <v>788</v>
      </c>
    </row>
    <row r="11" spans="1:17" ht="15.75" customHeight="1">
      <c r="A11" s="213" t="s">
        <v>175</v>
      </c>
      <c r="B11" s="164" t="s">
        <v>789</v>
      </c>
      <c r="C11" s="165">
        <v>1</v>
      </c>
      <c r="D11" s="165">
        <v>7</v>
      </c>
      <c r="E11" s="165">
        <v>1330</v>
      </c>
      <c r="F11" s="167">
        <v>402560</v>
      </c>
      <c r="G11" s="213">
        <v>2</v>
      </c>
      <c r="H11" s="213">
        <v>158</v>
      </c>
      <c r="I11" s="214">
        <f>G11* 3215443.7</f>
        <v>6430887.4000000004</v>
      </c>
      <c r="K11" s="168" t="s">
        <v>168</v>
      </c>
      <c r="L11" s="33">
        <f>F35</f>
        <v>37182716</v>
      </c>
      <c r="M11" s="33">
        <v>36500000</v>
      </c>
      <c r="N11" s="33">
        <f>I31</f>
        <v>47275871.020000003</v>
      </c>
      <c r="O11" s="33">
        <f>IFERROR(VLOOKUP(K11,'Biaya Staff'!$B$2:$H$28,7,FALSE()),0)</f>
        <v>34754076.800000004</v>
      </c>
      <c r="P11" s="169">
        <f t="shared" si="0"/>
        <v>155712663.82000002</v>
      </c>
      <c r="Q11" s="32" t="s">
        <v>790</v>
      </c>
    </row>
    <row r="12" spans="1:17" ht="15.75" customHeight="1">
      <c r="A12" s="213"/>
      <c r="B12" s="164" t="s">
        <v>778</v>
      </c>
      <c r="C12" s="165">
        <v>1</v>
      </c>
      <c r="D12" s="170"/>
      <c r="E12" s="174">
        <v>1330</v>
      </c>
      <c r="F12" s="172">
        <v>402560</v>
      </c>
      <c r="G12" s="213"/>
      <c r="H12" s="213"/>
      <c r="I12" s="213"/>
      <c r="K12" s="168" t="s">
        <v>577</v>
      </c>
      <c r="L12" s="33">
        <f>F39</f>
        <v>5487681</v>
      </c>
      <c r="M12" s="33">
        <v>14500000</v>
      </c>
      <c r="N12" s="33">
        <f>I36</f>
        <v>24693832.799999997</v>
      </c>
      <c r="O12" s="33">
        <f>IFERROR(VLOOKUP(K12,'Biaya Staff'!$B$2:$H$28,7,FALSE()),0)</f>
        <v>16462555.199999999</v>
      </c>
      <c r="P12" s="169">
        <f t="shared" si="0"/>
        <v>61144069</v>
      </c>
      <c r="Q12" s="32" t="s">
        <v>791</v>
      </c>
    </row>
    <row r="13" spans="1:17" ht="15.75" customHeight="1">
      <c r="A13" s="213" t="s">
        <v>177</v>
      </c>
      <c r="B13" s="164" t="s">
        <v>792</v>
      </c>
      <c r="C13" s="165">
        <v>1</v>
      </c>
      <c r="D13" s="165">
        <v>24</v>
      </c>
      <c r="E13" s="165">
        <v>4623</v>
      </c>
      <c r="F13" s="167">
        <v>7998945</v>
      </c>
      <c r="G13" s="213">
        <v>2</v>
      </c>
      <c r="H13" s="213">
        <v>27</v>
      </c>
      <c r="I13" s="215">
        <f>G13* 3842203</f>
        <v>7684406</v>
      </c>
      <c r="K13" s="168" t="s">
        <v>579</v>
      </c>
      <c r="L13" s="33">
        <f>F43</f>
        <v>3918434</v>
      </c>
      <c r="M13" s="33">
        <v>14500000</v>
      </c>
      <c r="N13" s="33">
        <f>I40</f>
        <v>24693832.799999997</v>
      </c>
      <c r="O13" s="33">
        <f>IFERROR(VLOOKUP(K13,'Biaya Staff'!$B$2:$H$28,7,FALSE()),0)</f>
        <v>12346916.399999999</v>
      </c>
      <c r="P13" s="169">
        <f t="shared" si="0"/>
        <v>55459183.199999996</v>
      </c>
      <c r="Q13" s="32" t="s">
        <v>793</v>
      </c>
    </row>
    <row r="14" spans="1:17" ht="15.75" customHeight="1">
      <c r="A14" s="213"/>
      <c r="B14" s="164" t="s">
        <v>778</v>
      </c>
      <c r="C14" s="165">
        <v>1</v>
      </c>
      <c r="D14" s="170"/>
      <c r="E14" s="174">
        <v>4623</v>
      </c>
      <c r="F14" s="172">
        <v>7998945</v>
      </c>
      <c r="G14" s="213"/>
      <c r="H14" s="213"/>
      <c r="I14" s="215"/>
      <c r="K14" s="168" t="s">
        <v>170</v>
      </c>
      <c r="L14" s="33">
        <f>F45</f>
        <v>3775935</v>
      </c>
      <c r="M14" s="33">
        <v>6560843.3329999996</v>
      </c>
      <c r="N14" s="33">
        <f>I44</f>
        <v>8234142</v>
      </c>
      <c r="O14" s="33">
        <f>IFERROR(VLOOKUP(K14,'Biaya Staff'!$B$2:$H$28,7,FALSE()),0)</f>
        <v>35070710</v>
      </c>
      <c r="P14" s="169">
        <f t="shared" si="0"/>
        <v>53641630.333000004</v>
      </c>
      <c r="Q14" s="32" t="s">
        <v>794</v>
      </c>
    </row>
    <row r="15" spans="1:17" ht="15.75" customHeight="1">
      <c r="A15" s="213" t="s">
        <v>179</v>
      </c>
      <c r="B15" s="164" t="s">
        <v>795</v>
      </c>
      <c r="C15" s="165">
        <v>1</v>
      </c>
      <c r="D15" s="175">
        <v>17</v>
      </c>
      <c r="E15" s="165">
        <v>3313</v>
      </c>
      <c r="F15" s="167">
        <v>5819634</v>
      </c>
      <c r="G15" s="213">
        <v>6</v>
      </c>
      <c r="H15" s="213">
        <v>26</v>
      </c>
      <c r="I15" s="215">
        <f>G15* 3215443.7</f>
        <v>19292662.200000003</v>
      </c>
      <c r="K15" s="168" t="s">
        <v>164</v>
      </c>
      <c r="L15" s="33">
        <f>F56</f>
        <v>22375938</v>
      </c>
      <c r="M15" s="33">
        <v>53800000</v>
      </c>
      <c r="N15" s="33">
        <f>I46</f>
        <v>93104525.800000012</v>
      </c>
      <c r="O15" s="33">
        <f>IFERROR(VLOOKUP(K15,'Biaya Staff'!$B$2:$H$28,7,FALSE()),0)</f>
        <v>42320239</v>
      </c>
      <c r="P15" s="169">
        <f t="shared" si="0"/>
        <v>211600702.80000001</v>
      </c>
      <c r="Q15" s="32" t="s">
        <v>796</v>
      </c>
    </row>
    <row r="16" spans="1:17" ht="15.75" customHeight="1">
      <c r="A16" s="213"/>
      <c r="B16" s="164" t="s">
        <v>797</v>
      </c>
      <c r="C16" s="165">
        <v>1</v>
      </c>
      <c r="D16" s="165">
        <v>20</v>
      </c>
      <c r="E16" s="165">
        <v>3964</v>
      </c>
      <c r="F16" s="167">
        <v>2933714</v>
      </c>
      <c r="G16" s="213"/>
      <c r="H16" s="213"/>
      <c r="I16" s="215"/>
      <c r="K16" s="168" t="s">
        <v>568</v>
      </c>
      <c r="L16" s="33">
        <f>F58</f>
        <v>1831376</v>
      </c>
      <c r="M16" s="33">
        <v>5500000</v>
      </c>
      <c r="N16" s="33">
        <f>I57</f>
        <v>7250947.5999999996</v>
      </c>
      <c r="O16" s="33">
        <f>IFERROR(VLOOKUP(K16,'Biaya Staff'!$B$2:$H$28,7,FALSE()),0)</f>
        <v>7250947.5999999996</v>
      </c>
      <c r="P16" s="169">
        <f t="shared" si="0"/>
        <v>21833271.199999999</v>
      </c>
      <c r="Q16" s="32" t="s">
        <v>798</v>
      </c>
    </row>
    <row r="17" spans="1:19" ht="15.75" customHeight="1">
      <c r="A17" s="213"/>
      <c r="B17" s="164" t="s">
        <v>799</v>
      </c>
      <c r="C17" s="165">
        <v>1</v>
      </c>
      <c r="D17" s="165">
        <v>15</v>
      </c>
      <c r="E17" s="165">
        <v>2845</v>
      </c>
      <c r="F17" s="167">
        <v>4677429</v>
      </c>
      <c r="G17" s="213"/>
      <c r="H17" s="213"/>
      <c r="I17" s="215"/>
      <c r="K17" s="37" t="s">
        <v>800</v>
      </c>
      <c r="L17" s="82">
        <f>SUM(L3:L16)</f>
        <v>236013211</v>
      </c>
      <c r="M17" s="82">
        <f>SUM(M3:M16)</f>
        <v>294869276.66299999</v>
      </c>
      <c r="N17" s="82">
        <f>SUM(N3:N16)</f>
        <v>426981143.92000002</v>
      </c>
      <c r="O17" s="82">
        <f>SUM(O3:O16)</f>
        <v>392936204.36000001</v>
      </c>
      <c r="P17" s="82">
        <f>SUM(P3:P16)</f>
        <v>1350799835.9430001</v>
      </c>
      <c r="Q17" s="176" t="s">
        <v>801</v>
      </c>
    </row>
    <row r="18" spans="1:19" ht="15.75" customHeight="1">
      <c r="A18" s="213"/>
      <c r="B18" s="164" t="s">
        <v>778</v>
      </c>
      <c r="C18" s="165">
        <v>3</v>
      </c>
      <c r="D18" s="170"/>
      <c r="E18" s="174">
        <v>10122</v>
      </c>
      <c r="F18" s="172">
        <v>13430777</v>
      </c>
      <c r="G18" s="213"/>
      <c r="H18" s="213"/>
      <c r="I18" s="215"/>
    </row>
    <row r="19" spans="1:19" ht="15.75" customHeight="1">
      <c r="A19" s="213" t="s">
        <v>182</v>
      </c>
      <c r="B19" s="164" t="s">
        <v>802</v>
      </c>
      <c r="C19" s="165">
        <v>1</v>
      </c>
      <c r="D19" s="165">
        <v>32</v>
      </c>
      <c r="E19" s="165">
        <v>6285</v>
      </c>
      <c r="F19" s="167">
        <v>32527874</v>
      </c>
      <c r="G19" s="213">
        <v>2</v>
      </c>
      <c r="H19" s="213">
        <v>44</v>
      </c>
      <c r="I19" s="214">
        <f>2*'Biaya Driver'!E28</f>
        <v>7698866</v>
      </c>
    </row>
    <row r="20" spans="1:19" ht="15.75" customHeight="1">
      <c r="A20" s="213"/>
      <c r="B20" s="164" t="s">
        <v>778</v>
      </c>
      <c r="C20" s="174">
        <v>1</v>
      </c>
      <c r="D20" s="164"/>
      <c r="E20" s="171">
        <v>6285</v>
      </c>
      <c r="F20" s="172">
        <v>32527874</v>
      </c>
      <c r="G20" s="213"/>
      <c r="H20" s="213"/>
      <c r="I20" s="213"/>
    </row>
    <row r="21" spans="1:19" ht="15.75" customHeight="1">
      <c r="A21" s="213" t="s">
        <v>162</v>
      </c>
      <c r="B21" s="164" t="s">
        <v>803</v>
      </c>
      <c r="C21" s="165">
        <v>1</v>
      </c>
      <c r="D21" s="165">
        <v>18</v>
      </c>
      <c r="E21" s="165">
        <v>3579</v>
      </c>
      <c r="F21" s="167">
        <v>2696647</v>
      </c>
      <c r="G21" s="213">
        <v>6</v>
      </c>
      <c r="H21" s="213">
        <v>33</v>
      </c>
      <c r="I21" s="214">
        <f>6*'Biaya Driver'!E50</f>
        <v>21595021.5</v>
      </c>
    </row>
    <row r="22" spans="1:19" ht="15.75" customHeight="1">
      <c r="A22" s="213"/>
      <c r="B22" s="164" t="s">
        <v>804</v>
      </c>
      <c r="C22" s="165">
        <v>1</v>
      </c>
      <c r="D22" s="165">
        <v>14</v>
      </c>
      <c r="E22" s="165">
        <v>2724</v>
      </c>
      <c r="F22" s="167">
        <v>3747888</v>
      </c>
      <c r="G22" s="213"/>
      <c r="H22" s="213"/>
      <c r="I22" s="213"/>
    </row>
    <row r="23" spans="1:19" ht="15.75" customHeight="1">
      <c r="A23" s="213"/>
      <c r="B23" s="164" t="s">
        <v>805</v>
      </c>
      <c r="C23" s="165">
        <v>1</v>
      </c>
      <c r="D23" s="165">
        <v>19</v>
      </c>
      <c r="E23" s="165">
        <v>2181</v>
      </c>
      <c r="F23" s="167">
        <v>327275</v>
      </c>
      <c r="G23" s="213"/>
      <c r="H23" s="213"/>
      <c r="I23" s="213"/>
    </row>
    <row r="24" spans="1:19" ht="15.75" customHeight="1">
      <c r="A24" s="213"/>
      <c r="B24" s="164" t="s">
        <v>778</v>
      </c>
      <c r="C24" s="174">
        <v>3</v>
      </c>
      <c r="D24" s="164"/>
      <c r="E24" s="171">
        <v>8484</v>
      </c>
      <c r="F24" s="172">
        <v>6771810</v>
      </c>
      <c r="G24" s="213"/>
      <c r="H24" s="213"/>
      <c r="I24" s="213"/>
    </row>
    <row r="25" spans="1:19" ht="15.75" customHeight="1">
      <c r="A25" s="213" t="s">
        <v>166</v>
      </c>
      <c r="B25" s="164" t="s">
        <v>806</v>
      </c>
      <c r="C25" s="165">
        <v>1</v>
      </c>
      <c r="D25" s="165">
        <v>19</v>
      </c>
      <c r="E25" s="165">
        <v>3692</v>
      </c>
      <c r="F25" s="167">
        <v>3146020</v>
      </c>
      <c r="G25" s="213">
        <v>12</v>
      </c>
      <c r="H25" s="213">
        <v>23</v>
      </c>
      <c r="I25" s="214">
        <f>'Biaya Driver'!E52*G25</f>
        <v>52685334</v>
      </c>
    </row>
    <row r="26" spans="1:19" ht="15.75" customHeight="1">
      <c r="A26" s="213"/>
      <c r="B26" s="164" t="s">
        <v>807</v>
      </c>
      <c r="C26" s="165">
        <v>2</v>
      </c>
      <c r="D26" s="165">
        <v>41</v>
      </c>
      <c r="E26" s="165">
        <v>8017</v>
      </c>
      <c r="F26" s="167">
        <v>15808358</v>
      </c>
      <c r="G26" s="213"/>
      <c r="H26" s="213"/>
      <c r="I26" s="213"/>
    </row>
    <row r="27" spans="1:19" ht="15.75" customHeight="1">
      <c r="A27" s="213"/>
      <c r="B27" s="164" t="s">
        <v>808</v>
      </c>
      <c r="C27" s="165">
        <v>1</v>
      </c>
      <c r="D27" s="165">
        <v>15</v>
      </c>
      <c r="E27" s="165">
        <v>1729</v>
      </c>
      <c r="F27" s="167">
        <v>1038750</v>
      </c>
      <c r="G27" s="213"/>
      <c r="H27" s="213"/>
      <c r="I27" s="213"/>
    </row>
    <row r="28" spans="1:19" ht="15.75" customHeight="1">
      <c r="A28" s="213"/>
      <c r="B28" s="164" t="s">
        <v>809</v>
      </c>
      <c r="C28" s="165">
        <v>1</v>
      </c>
      <c r="D28" s="165">
        <v>19</v>
      </c>
      <c r="E28" s="165">
        <v>2269</v>
      </c>
      <c r="F28" s="167">
        <v>1135250</v>
      </c>
      <c r="G28" s="213"/>
      <c r="H28" s="213"/>
      <c r="I28" s="213"/>
    </row>
    <row r="29" spans="1:19" ht="15.75" customHeight="1">
      <c r="A29" s="213"/>
      <c r="B29" s="164" t="s">
        <v>810</v>
      </c>
      <c r="C29" s="165">
        <v>1</v>
      </c>
      <c r="D29" s="165">
        <v>18</v>
      </c>
      <c r="E29" s="165">
        <v>2088</v>
      </c>
      <c r="F29" s="167">
        <v>791775</v>
      </c>
      <c r="G29" s="213"/>
      <c r="H29" s="213"/>
      <c r="I29" s="213"/>
    </row>
    <row r="30" spans="1:19" ht="15.75" customHeight="1">
      <c r="A30" s="213"/>
      <c r="B30" s="164" t="s">
        <v>778</v>
      </c>
      <c r="C30" s="174">
        <v>6</v>
      </c>
      <c r="D30" s="164"/>
      <c r="E30" s="171">
        <v>17795</v>
      </c>
      <c r="F30" s="172">
        <v>21920153</v>
      </c>
      <c r="G30" s="213"/>
      <c r="H30" s="213"/>
      <c r="I30" s="213"/>
      <c r="S30" s="47" t="s">
        <v>811</v>
      </c>
    </row>
    <row r="31" spans="1:19" ht="15.75" customHeight="1">
      <c r="A31" s="213" t="s">
        <v>168</v>
      </c>
      <c r="B31" s="164" t="s">
        <v>812</v>
      </c>
      <c r="C31" s="165">
        <v>4</v>
      </c>
      <c r="D31" s="165">
        <v>49</v>
      </c>
      <c r="E31" s="165">
        <v>9643</v>
      </c>
      <c r="F31" s="167">
        <v>28060200</v>
      </c>
      <c r="G31" s="213">
        <v>14</v>
      </c>
      <c r="H31" s="213">
        <v>15</v>
      </c>
      <c r="I31" s="214">
        <f>'Biaya Driver'!E53*G31</f>
        <v>47275871.020000003</v>
      </c>
      <c r="S31" s="47" t="s">
        <v>813</v>
      </c>
    </row>
    <row r="32" spans="1:19" ht="15.75" customHeight="1">
      <c r="A32" s="213"/>
      <c r="B32" s="164" t="s">
        <v>814</v>
      </c>
      <c r="C32" s="165">
        <v>1</v>
      </c>
      <c r="D32" s="165">
        <v>15</v>
      </c>
      <c r="E32" s="165">
        <v>2902</v>
      </c>
      <c r="F32" s="167">
        <v>5927949</v>
      </c>
      <c r="G32" s="213"/>
      <c r="H32" s="213"/>
      <c r="I32" s="213"/>
      <c r="S32" s="47" t="str">
        <f>IFERROR('Biaya Staff'!E32/'Biaya Staff'!D32,"-")</f>
        <v>-</v>
      </c>
    </row>
    <row r="33" spans="1:19" ht="15.75" customHeight="1">
      <c r="A33" s="213"/>
      <c r="B33" s="164" t="s">
        <v>815</v>
      </c>
      <c r="C33" s="165">
        <v>1</v>
      </c>
      <c r="D33" s="165">
        <v>11</v>
      </c>
      <c r="E33" s="165">
        <v>2016</v>
      </c>
      <c r="F33" s="167">
        <v>2208417</v>
      </c>
      <c r="G33" s="213"/>
      <c r="H33" s="213"/>
      <c r="I33" s="213"/>
      <c r="S33" s="47" t="str">
        <f>IFERROR('Biaya Staff'!E33/'Biaya Staff'!D33,"-")</f>
        <v>-</v>
      </c>
    </row>
    <row r="34" spans="1:19" ht="15.75" customHeight="1">
      <c r="A34" s="213"/>
      <c r="B34" s="164" t="s">
        <v>816</v>
      </c>
      <c r="C34" s="165">
        <v>1</v>
      </c>
      <c r="D34" s="165">
        <v>11</v>
      </c>
      <c r="E34" s="165">
        <v>1223</v>
      </c>
      <c r="F34" s="167">
        <v>986150</v>
      </c>
      <c r="G34" s="213"/>
      <c r="H34" s="213"/>
      <c r="I34" s="213"/>
      <c r="S34" s="47" t="str">
        <f>IFERROR('Biaya Staff'!E34/'Biaya Staff'!D34,"-")</f>
        <v>-</v>
      </c>
    </row>
    <row r="35" spans="1:19" ht="15.75" customHeight="1">
      <c r="A35" s="213"/>
      <c r="B35" s="164" t="s">
        <v>778</v>
      </c>
      <c r="C35" s="174">
        <v>7</v>
      </c>
      <c r="D35" s="164"/>
      <c r="E35" s="171">
        <v>15604</v>
      </c>
      <c r="F35" s="172">
        <v>37182716</v>
      </c>
      <c r="G35" s="213"/>
      <c r="H35" s="213"/>
      <c r="I35" s="213"/>
      <c r="S35" s="47" t="str">
        <f>IFERROR('Biaya Staff'!E35/'Biaya Staff'!D35,"-")</f>
        <v>-</v>
      </c>
    </row>
    <row r="36" spans="1:19" ht="13.5" customHeight="1">
      <c r="A36" s="213" t="s">
        <v>577</v>
      </c>
      <c r="B36" s="164" t="s">
        <v>817</v>
      </c>
      <c r="C36" s="165">
        <v>1</v>
      </c>
      <c r="D36" s="165">
        <v>23</v>
      </c>
      <c r="E36" s="165">
        <v>4425</v>
      </c>
      <c r="F36" s="167">
        <v>3093369</v>
      </c>
      <c r="G36" s="213">
        <v>6</v>
      </c>
      <c r="H36" s="213">
        <v>67</v>
      </c>
      <c r="I36" s="214">
        <f>'Biaya Driver'!E59*G36</f>
        <v>24693832.799999997</v>
      </c>
      <c r="S36" s="47" t="str">
        <f>IFERROR('Biaya Staff'!E36/'Biaya Staff'!D36,"-")</f>
        <v>-</v>
      </c>
    </row>
    <row r="37" spans="1:19" ht="13.5" customHeight="1">
      <c r="A37" s="213"/>
      <c r="B37" s="164" t="s">
        <v>818</v>
      </c>
      <c r="C37" s="165">
        <v>1</v>
      </c>
      <c r="D37" s="165">
        <v>19</v>
      </c>
      <c r="E37" s="165">
        <v>3785</v>
      </c>
      <c r="F37" s="167">
        <v>1332237</v>
      </c>
      <c r="G37" s="213"/>
      <c r="H37" s="213"/>
      <c r="I37" s="213"/>
      <c r="S37" s="47" t="str">
        <f>IFERROR('Biaya Staff'!E37/'Biaya Staff'!D37,"-")</f>
        <v>-</v>
      </c>
    </row>
    <row r="38" spans="1:19" ht="13.5" customHeight="1">
      <c r="A38" s="213"/>
      <c r="B38" s="164" t="s">
        <v>819</v>
      </c>
      <c r="C38" s="165">
        <v>1</v>
      </c>
      <c r="D38" s="165">
        <v>17</v>
      </c>
      <c r="E38" s="165">
        <v>1924</v>
      </c>
      <c r="F38" s="167">
        <v>1062075</v>
      </c>
      <c r="G38" s="213"/>
      <c r="H38" s="213"/>
      <c r="I38" s="213"/>
      <c r="S38" s="47" t="str">
        <f>IFERROR('Biaya Staff'!E38/'Biaya Staff'!D38,"-")</f>
        <v>-</v>
      </c>
    </row>
    <row r="39" spans="1:19" ht="13.5" customHeight="1">
      <c r="A39" s="213"/>
      <c r="B39" s="164" t="s">
        <v>778</v>
      </c>
      <c r="C39" s="174">
        <v>3</v>
      </c>
      <c r="D39" s="164"/>
      <c r="E39" s="171">
        <v>10134</v>
      </c>
      <c r="F39" s="172">
        <v>5487681</v>
      </c>
      <c r="G39" s="213"/>
      <c r="H39" s="213"/>
      <c r="I39" s="213"/>
      <c r="S39" s="47" t="str">
        <f>IFERROR('Biaya Staff'!E39/'Biaya Staff'!D39,"-")</f>
        <v>-</v>
      </c>
    </row>
    <row r="40" spans="1:19" ht="13.5" customHeight="1">
      <c r="A40" s="213" t="s">
        <v>579</v>
      </c>
      <c r="B40" s="164" t="s">
        <v>820</v>
      </c>
      <c r="C40" s="165">
        <v>1</v>
      </c>
      <c r="D40" s="165">
        <v>18</v>
      </c>
      <c r="E40" s="165">
        <v>3422</v>
      </c>
      <c r="F40" s="167">
        <v>1810471</v>
      </c>
      <c r="G40" s="213">
        <v>6</v>
      </c>
      <c r="H40" s="213">
        <v>90</v>
      </c>
      <c r="I40" s="214">
        <f>G40*'Biaya Driver'!E60</f>
        <v>24693832.799999997</v>
      </c>
      <c r="S40" s="47" t="str">
        <f>IFERROR('Biaya Staff'!E40/'Biaya Staff'!D40,"-")</f>
        <v>-</v>
      </c>
    </row>
    <row r="41" spans="1:19" ht="13.5" customHeight="1">
      <c r="A41" s="213"/>
      <c r="B41" s="164" t="s">
        <v>821</v>
      </c>
      <c r="C41" s="165">
        <v>1</v>
      </c>
      <c r="D41" s="165">
        <v>18</v>
      </c>
      <c r="E41" s="165">
        <v>3554</v>
      </c>
      <c r="F41" s="167">
        <v>1405851</v>
      </c>
      <c r="G41" s="213"/>
      <c r="H41" s="213"/>
      <c r="I41" s="213"/>
      <c r="S41" s="47" t="str">
        <f>IFERROR('Biaya Staff'!E41/'Biaya Staff'!D41,"-")</f>
        <v>-</v>
      </c>
    </row>
    <row r="42" spans="1:19" ht="13.5" customHeight="1">
      <c r="A42" s="213"/>
      <c r="B42" s="164" t="s">
        <v>822</v>
      </c>
      <c r="C42" s="165">
        <v>1</v>
      </c>
      <c r="D42" s="165">
        <v>9</v>
      </c>
      <c r="E42" s="165">
        <v>967</v>
      </c>
      <c r="F42" s="167">
        <v>702112</v>
      </c>
      <c r="G42" s="213"/>
      <c r="H42" s="213"/>
      <c r="I42" s="213"/>
      <c r="S42" s="47" t="str">
        <f>IFERROR('Biaya Staff'!E42/'Biaya Staff'!D42,"-")</f>
        <v>-</v>
      </c>
    </row>
    <row r="43" spans="1:19" ht="13.5" customHeight="1">
      <c r="A43" s="213"/>
      <c r="B43" s="164" t="s">
        <v>778</v>
      </c>
      <c r="C43" s="174">
        <v>3</v>
      </c>
      <c r="D43" s="164"/>
      <c r="E43" s="171">
        <v>7943</v>
      </c>
      <c r="F43" s="172">
        <v>3918434</v>
      </c>
      <c r="G43" s="213"/>
      <c r="H43" s="213"/>
      <c r="I43" s="213"/>
      <c r="S43" s="47" t="str">
        <f>IFERROR('Biaya Staff'!E43/'Biaya Staff'!D43,"-")</f>
        <v>-</v>
      </c>
    </row>
    <row r="44" spans="1:19" ht="13.5" customHeight="1">
      <c r="A44" s="213" t="s">
        <v>170</v>
      </c>
      <c r="B44" s="164" t="s">
        <v>823</v>
      </c>
      <c r="C44" s="165">
        <v>1</v>
      </c>
      <c r="D44" s="165">
        <v>24</v>
      </c>
      <c r="E44" s="165">
        <v>4675</v>
      </c>
      <c r="F44" s="167">
        <v>3775935</v>
      </c>
      <c r="G44" s="213">
        <v>2</v>
      </c>
      <c r="H44" s="213">
        <v>57</v>
      </c>
      <c r="I44" s="214">
        <f>G44*'Biaya Driver'!E21</f>
        <v>8234142</v>
      </c>
      <c r="S44" s="47" t="str">
        <f>IFERROR('Biaya Staff'!E44/'Biaya Staff'!D44,"-")</f>
        <v>-</v>
      </c>
    </row>
    <row r="45" spans="1:19" ht="13.5" customHeight="1">
      <c r="A45" s="213"/>
      <c r="B45" s="164" t="s">
        <v>778</v>
      </c>
      <c r="C45" s="174">
        <v>1</v>
      </c>
      <c r="D45" s="164"/>
      <c r="E45" s="174">
        <v>4675</v>
      </c>
      <c r="F45" s="172">
        <v>3775935</v>
      </c>
      <c r="G45" s="213"/>
      <c r="H45" s="213"/>
      <c r="I45" s="213"/>
      <c r="S45" s="47" t="str">
        <f>IFERROR('Biaya Staff'!E45/'Biaya Staff'!D45,"-")</f>
        <v>-</v>
      </c>
    </row>
    <row r="46" spans="1:19" ht="13.5" customHeight="1">
      <c r="A46" s="213" t="s">
        <v>164</v>
      </c>
      <c r="B46" s="164" t="s">
        <v>824</v>
      </c>
      <c r="C46" s="165">
        <v>1</v>
      </c>
      <c r="D46" s="165">
        <v>23</v>
      </c>
      <c r="E46" s="165">
        <v>6440</v>
      </c>
      <c r="F46" s="167">
        <v>640067</v>
      </c>
      <c r="G46" s="213">
        <v>22</v>
      </c>
      <c r="H46" s="213">
        <v>26</v>
      </c>
      <c r="I46" s="214">
        <f>G46*'Biaya Driver'!E51</f>
        <v>93104525.800000012</v>
      </c>
      <c r="S46" s="47" t="str">
        <f>IFERROR('Biaya Staff'!E46/'Biaya Staff'!D46,"-")</f>
        <v>-</v>
      </c>
    </row>
    <row r="47" spans="1:19" ht="13.5" customHeight="1">
      <c r="A47" s="213"/>
      <c r="B47" s="164" t="s">
        <v>825</v>
      </c>
      <c r="C47" s="165">
        <v>1</v>
      </c>
      <c r="D47" s="165">
        <v>19</v>
      </c>
      <c r="E47" s="165">
        <v>5320</v>
      </c>
      <c r="F47" s="167">
        <v>5253272</v>
      </c>
      <c r="G47" s="213"/>
      <c r="H47" s="213"/>
      <c r="I47" s="213"/>
      <c r="S47" s="47" t="str">
        <f>IFERROR('Biaya Staff'!E47/'Biaya Staff'!D47,"-")</f>
        <v>-</v>
      </c>
    </row>
    <row r="48" spans="1:19" ht="13.5" customHeight="1">
      <c r="A48" s="213"/>
      <c r="B48" s="164" t="s">
        <v>826</v>
      </c>
      <c r="C48" s="165">
        <v>1</v>
      </c>
      <c r="D48" s="165">
        <v>13</v>
      </c>
      <c r="E48" s="165">
        <v>2549</v>
      </c>
      <c r="F48" s="167">
        <v>2525714</v>
      </c>
      <c r="G48" s="213"/>
      <c r="H48" s="213"/>
      <c r="I48" s="213"/>
      <c r="S48" s="47" t="str">
        <f>IFERROR('Biaya Staff'!E48/'Biaya Staff'!D48,"-")</f>
        <v>-</v>
      </c>
    </row>
    <row r="49" spans="1:19" ht="13.5" customHeight="1">
      <c r="A49" s="213"/>
      <c r="B49" s="164" t="s">
        <v>827</v>
      </c>
      <c r="C49" s="165">
        <v>1</v>
      </c>
      <c r="D49" s="165">
        <v>25</v>
      </c>
      <c r="E49" s="165">
        <v>5000</v>
      </c>
      <c r="F49" s="167">
        <v>397557</v>
      </c>
      <c r="G49" s="213"/>
      <c r="H49" s="213"/>
      <c r="I49" s="213"/>
      <c r="S49" s="47" t="str">
        <f>IFERROR('Biaya Staff'!E49/'Biaya Staff'!D49,"-")</f>
        <v>-</v>
      </c>
    </row>
    <row r="50" spans="1:19" ht="13.5" customHeight="1">
      <c r="A50" s="213"/>
      <c r="B50" s="164" t="s">
        <v>828</v>
      </c>
      <c r="C50" s="165">
        <v>1</v>
      </c>
      <c r="D50" s="165">
        <v>13</v>
      </c>
      <c r="E50" s="165">
        <v>2600</v>
      </c>
      <c r="F50" s="167">
        <v>1230275</v>
      </c>
      <c r="G50" s="213"/>
      <c r="H50" s="213"/>
      <c r="I50" s="213"/>
      <c r="S50" s="47" t="str">
        <f>IFERROR('Biaya Staff'!E50/'Biaya Staff'!D50,"-")</f>
        <v>-</v>
      </c>
    </row>
    <row r="51" spans="1:19" ht="13.5" customHeight="1">
      <c r="A51" s="213"/>
      <c r="B51" s="164" t="s">
        <v>829</v>
      </c>
      <c r="C51" s="165">
        <v>1</v>
      </c>
      <c r="D51" s="165">
        <v>15</v>
      </c>
      <c r="E51" s="165">
        <v>2871</v>
      </c>
      <c r="F51" s="167">
        <v>2839243</v>
      </c>
      <c r="G51" s="213"/>
      <c r="H51" s="213"/>
      <c r="I51" s="213"/>
      <c r="S51" s="47" t="str">
        <f>IFERROR('Biaya Staff'!E51/'Biaya Staff'!D51,"-")</f>
        <v>-</v>
      </c>
    </row>
    <row r="52" spans="1:19" ht="13.5" customHeight="1">
      <c r="A52" s="213"/>
      <c r="B52" s="164" t="s">
        <v>830</v>
      </c>
      <c r="C52" s="165">
        <v>1</v>
      </c>
      <c r="D52" s="165">
        <v>17</v>
      </c>
      <c r="E52" s="165">
        <v>3259</v>
      </c>
      <c r="F52" s="167">
        <v>6199133</v>
      </c>
      <c r="G52" s="213"/>
      <c r="H52" s="213"/>
      <c r="I52" s="213"/>
      <c r="S52" s="47" t="str">
        <f>IFERROR('Biaya Staff'!E52/'Biaya Staff'!D52,"-")</f>
        <v>-</v>
      </c>
    </row>
    <row r="53" spans="1:19" ht="13.5" customHeight="1">
      <c r="A53" s="213"/>
      <c r="B53" s="164" t="s">
        <v>831</v>
      </c>
      <c r="C53" s="165">
        <v>1</v>
      </c>
      <c r="D53" s="165">
        <v>6</v>
      </c>
      <c r="E53" s="165">
        <v>1169</v>
      </c>
      <c r="F53" s="167">
        <v>1307815</v>
      </c>
      <c r="G53" s="213"/>
      <c r="H53" s="213"/>
      <c r="I53" s="213"/>
      <c r="S53" s="47" t="str">
        <f>IFERROR('Biaya Staff'!E53/'Biaya Staff'!D53,"-")</f>
        <v>-</v>
      </c>
    </row>
    <row r="54" spans="1:19" ht="13.5" customHeight="1">
      <c r="A54" s="213"/>
      <c r="B54" s="164" t="s">
        <v>832</v>
      </c>
      <c r="C54" s="165">
        <v>1</v>
      </c>
      <c r="D54" s="165">
        <v>16</v>
      </c>
      <c r="E54" s="165">
        <v>1826</v>
      </c>
      <c r="F54" s="167">
        <v>1104600</v>
      </c>
      <c r="G54" s="213"/>
      <c r="H54" s="213"/>
      <c r="I54" s="213"/>
      <c r="S54" s="47" t="str">
        <f>IFERROR('Biaya Staff'!E54/'Biaya Staff'!D54,"-")</f>
        <v>-</v>
      </c>
    </row>
    <row r="55" spans="1:19" ht="13.5" customHeight="1">
      <c r="A55" s="213"/>
      <c r="B55" s="164" t="s">
        <v>833</v>
      </c>
      <c r="C55" s="165">
        <v>1</v>
      </c>
      <c r="D55" s="165">
        <v>17</v>
      </c>
      <c r="E55" s="165">
        <v>1978</v>
      </c>
      <c r="F55" s="167">
        <v>878262</v>
      </c>
      <c r="G55" s="213"/>
      <c r="H55" s="213"/>
      <c r="I55" s="213"/>
      <c r="S55" s="47" t="str">
        <f>IFERROR('Biaya Staff'!E55/'Biaya Staff'!D55,"-")</f>
        <v>-</v>
      </c>
    </row>
    <row r="56" spans="1:19" ht="13.5" customHeight="1">
      <c r="A56" s="213"/>
      <c r="B56" s="164" t="s">
        <v>778</v>
      </c>
      <c r="C56" s="174">
        <v>11</v>
      </c>
      <c r="D56" s="164"/>
      <c r="E56" s="174">
        <v>33282</v>
      </c>
      <c r="F56" s="172">
        <v>22375938</v>
      </c>
      <c r="G56" s="213"/>
      <c r="H56" s="213"/>
      <c r="I56" s="213"/>
      <c r="S56" s="47" t="str">
        <f>IFERROR('Biaya Staff'!E56/'Biaya Staff'!D56,"-")</f>
        <v>-</v>
      </c>
    </row>
    <row r="57" spans="1:19" ht="13.5" customHeight="1">
      <c r="A57" s="216" t="s">
        <v>568</v>
      </c>
      <c r="B57" s="164" t="s">
        <v>834</v>
      </c>
      <c r="C57" s="165">
        <v>1</v>
      </c>
      <c r="D57" s="165">
        <v>14</v>
      </c>
      <c r="E57" s="165">
        <v>2672</v>
      </c>
      <c r="F57" s="167">
        <v>1831376</v>
      </c>
      <c r="G57" s="213">
        <v>2</v>
      </c>
      <c r="H57" s="213">
        <v>69</v>
      </c>
      <c r="I57" s="214">
        <f>G57*'Biaya Driver'!E56</f>
        <v>7250947.5999999996</v>
      </c>
      <c r="S57" s="47" t="str">
        <f>IFERROR('Biaya Staff'!E57/'Biaya Staff'!D57,"-")</f>
        <v>-</v>
      </c>
    </row>
    <row r="58" spans="1:19" ht="13.5" customHeight="1">
      <c r="A58" s="216"/>
      <c r="B58" s="164" t="s">
        <v>778</v>
      </c>
      <c r="C58" s="174">
        <v>1</v>
      </c>
      <c r="D58" s="174">
        <v>14</v>
      </c>
      <c r="E58" s="174">
        <v>2672</v>
      </c>
      <c r="F58" s="172">
        <v>1831376</v>
      </c>
      <c r="G58" s="213"/>
      <c r="H58" s="213"/>
      <c r="I58" s="213"/>
      <c r="S58" s="47" t="str">
        <f>IFERROR('Biaya Staff'!E58/'Biaya Staff'!D58,"-")</f>
        <v>-</v>
      </c>
    </row>
    <row r="59" spans="1:19" ht="16.5" customHeight="1">
      <c r="A59" s="177" t="s">
        <v>835</v>
      </c>
      <c r="B59" s="177"/>
      <c r="C59" s="177"/>
      <c r="F59" s="178">
        <f>SUM(F5,F10,F12,F14,F18,F20,F24,F30,F35,F39,F43,F45,F56,F58)</f>
        <v>236013211</v>
      </c>
      <c r="I59" s="179">
        <f>(SUM(I6:I58))</f>
        <v>396377594.32000005</v>
      </c>
    </row>
    <row r="60" spans="1:19" ht="18.75" customHeight="1">
      <c r="A60" s="180" t="s">
        <v>800</v>
      </c>
      <c r="F60" s="181">
        <f>SUM(F59,I59)</f>
        <v>632390805.32000005</v>
      </c>
    </row>
  </sheetData>
  <mergeCells count="57">
    <mergeCell ref="A57:A58"/>
    <mergeCell ref="G57:G58"/>
    <mergeCell ref="H57:H58"/>
    <mergeCell ref="I57:I58"/>
    <mergeCell ref="A44:A45"/>
    <mergeCell ref="G44:G45"/>
    <mergeCell ref="H44:H45"/>
    <mergeCell ref="I44:I45"/>
    <mergeCell ref="A46:A56"/>
    <mergeCell ref="G46:G56"/>
    <mergeCell ref="H46:H56"/>
    <mergeCell ref="I46:I56"/>
    <mergeCell ref="A36:A39"/>
    <mergeCell ref="G36:G39"/>
    <mergeCell ref="H36:H39"/>
    <mergeCell ref="I36:I39"/>
    <mergeCell ref="A40:A43"/>
    <mergeCell ref="G40:G43"/>
    <mergeCell ref="H40:H43"/>
    <mergeCell ref="I40:I43"/>
    <mergeCell ref="A25:A30"/>
    <mergeCell ref="G25:G30"/>
    <mergeCell ref="H25:H30"/>
    <mergeCell ref="I25:I30"/>
    <mergeCell ref="A31:A35"/>
    <mergeCell ref="G31:G35"/>
    <mergeCell ref="H31:H35"/>
    <mergeCell ref="I31:I35"/>
    <mergeCell ref="A19:A20"/>
    <mergeCell ref="G19:G20"/>
    <mergeCell ref="H19:H20"/>
    <mergeCell ref="I19:I20"/>
    <mergeCell ref="A21:A24"/>
    <mergeCell ref="G21:G24"/>
    <mergeCell ref="H21:H24"/>
    <mergeCell ref="I21:I24"/>
    <mergeCell ref="A13:A14"/>
    <mergeCell ref="G13:G14"/>
    <mergeCell ref="H13:H14"/>
    <mergeCell ref="I13:I14"/>
    <mergeCell ref="A15:A18"/>
    <mergeCell ref="G15:G18"/>
    <mergeCell ref="H15:H18"/>
    <mergeCell ref="I15:I18"/>
    <mergeCell ref="A6:A10"/>
    <mergeCell ref="G6:G10"/>
    <mergeCell ref="H6:H10"/>
    <mergeCell ref="I6:I10"/>
    <mergeCell ref="A11:A12"/>
    <mergeCell ref="G11:G12"/>
    <mergeCell ref="H11:H12"/>
    <mergeCell ref="I11:I12"/>
    <mergeCell ref="K1:Q1"/>
    <mergeCell ref="A2:A5"/>
    <mergeCell ref="G2:G5"/>
    <mergeCell ref="H2:H5"/>
    <mergeCell ref="I2:I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79"/>
  <sheetViews>
    <sheetView zoomScaleNormal="100" workbookViewId="0"/>
  </sheetViews>
  <sheetFormatPr defaultColWidth="12.6328125" defaultRowHeight="12.5"/>
  <cols>
    <col min="2" max="2" width="12.90625" customWidth="1"/>
    <col min="7" max="7" width="18.26953125" customWidth="1"/>
  </cols>
  <sheetData>
    <row r="1" spans="1:9" ht="15.75" customHeight="1">
      <c r="A1" s="182" t="s">
        <v>836</v>
      </c>
      <c r="B1" s="183"/>
      <c r="C1" s="183"/>
    </row>
    <row r="2" spans="1:9" ht="15.75" customHeight="1">
      <c r="A2" s="182" t="s">
        <v>837</v>
      </c>
      <c r="B2" s="184"/>
      <c r="C2" s="53">
        <v>45</v>
      </c>
      <c r="D2" s="53" t="s">
        <v>16</v>
      </c>
      <c r="E2" s="53"/>
    </row>
    <row r="3" spans="1:9" ht="15.75" customHeight="1">
      <c r="A3" s="182" t="s">
        <v>838</v>
      </c>
      <c r="B3" s="184"/>
      <c r="C3" s="184"/>
      <c r="D3" s="53"/>
      <c r="E3" s="53"/>
    </row>
    <row r="4" spans="1:9" ht="15.75" customHeight="1">
      <c r="B4" s="155" t="s">
        <v>617</v>
      </c>
      <c r="C4" s="155" t="s">
        <v>154</v>
      </c>
      <c r="D4" s="155" t="s">
        <v>545</v>
      </c>
      <c r="E4" s="155" t="s">
        <v>839</v>
      </c>
      <c r="F4" s="155" t="s">
        <v>840</v>
      </c>
      <c r="G4" s="185" t="s">
        <v>841</v>
      </c>
      <c r="I4" s="186"/>
    </row>
    <row r="5" spans="1:9" ht="15.75" customHeight="1">
      <c r="B5" s="155" t="s">
        <v>621</v>
      </c>
      <c r="C5" s="155" t="s">
        <v>158</v>
      </c>
      <c r="D5" s="155" t="s">
        <v>552</v>
      </c>
      <c r="E5" s="173">
        <v>3786863.26</v>
      </c>
      <c r="F5" s="173">
        <v>3795823.23</v>
      </c>
      <c r="G5" s="187">
        <v>82833333.329999998</v>
      </c>
      <c r="I5" s="186"/>
    </row>
    <row r="6" spans="1:9" ht="15.75" customHeight="1">
      <c r="B6" s="155" t="s">
        <v>621</v>
      </c>
      <c r="C6" s="155" t="s">
        <v>160</v>
      </c>
      <c r="D6" s="155" t="s">
        <v>552</v>
      </c>
      <c r="E6" s="173">
        <v>3786863.26</v>
      </c>
      <c r="F6" s="173">
        <v>3795823.23</v>
      </c>
      <c r="G6" s="187">
        <v>82833333.329999998</v>
      </c>
      <c r="I6" s="186"/>
    </row>
    <row r="7" spans="1:9" ht="15.75" customHeight="1">
      <c r="B7" s="155" t="s">
        <v>621</v>
      </c>
      <c r="C7" s="155" t="s">
        <v>613</v>
      </c>
      <c r="D7" s="155" t="s">
        <v>678</v>
      </c>
      <c r="E7" s="173">
        <v>3786863.26</v>
      </c>
      <c r="F7" s="173">
        <v>3795823.23</v>
      </c>
      <c r="G7" s="187">
        <v>47333333.329999998</v>
      </c>
      <c r="I7" s="186"/>
    </row>
    <row r="8" spans="1:9" ht="15.75" customHeight="1">
      <c r="B8" s="155" t="s">
        <v>621</v>
      </c>
      <c r="C8" s="155" t="s">
        <v>614</v>
      </c>
      <c r="D8" s="155" t="s">
        <v>678</v>
      </c>
      <c r="E8" s="173">
        <v>3786863.26</v>
      </c>
      <c r="F8" s="173">
        <v>3795823.23</v>
      </c>
      <c r="G8" s="187">
        <v>47333333.329999998</v>
      </c>
      <c r="I8" s="186"/>
    </row>
    <row r="9" spans="1:9" ht="15.75" customHeight="1">
      <c r="B9" s="155" t="s">
        <v>621</v>
      </c>
      <c r="C9" s="155" t="s">
        <v>615</v>
      </c>
      <c r="D9" s="155" t="s">
        <v>678</v>
      </c>
      <c r="E9" s="173">
        <v>3786863.26</v>
      </c>
      <c r="F9" s="173">
        <v>3795823.23</v>
      </c>
      <c r="G9" s="187">
        <v>47333333.329999998</v>
      </c>
      <c r="I9" s="186"/>
    </row>
    <row r="10" spans="1:9" ht="15.75" customHeight="1">
      <c r="B10" s="155" t="s">
        <v>621</v>
      </c>
      <c r="C10" s="155" t="s">
        <v>616</v>
      </c>
      <c r="D10" s="155" t="s">
        <v>678</v>
      </c>
      <c r="E10" s="173">
        <v>3786863.26</v>
      </c>
      <c r="F10" s="173">
        <v>3795823.23</v>
      </c>
      <c r="G10" s="187">
        <v>47333333.329999998</v>
      </c>
      <c r="I10" s="186"/>
    </row>
    <row r="11" spans="1:9" ht="15.75" customHeight="1">
      <c r="B11" s="155" t="s">
        <v>622</v>
      </c>
      <c r="C11" s="155" t="s">
        <v>717</v>
      </c>
      <c r="D11" s="155" t="s">
        <v>679</v>
      </c>
      <c r="E11" s="173">
        <v>0</v>
      </c>
      <c r="F11" s="173">
        <v>0</v>
      </c>
      <c r="G11" s="187">
        <v>2366666.67</v>
      </c>
      <c r="I11" s="186"/>
    </row>
    <row r="12" spans="1:9" ht="15.75" customHeight="1">
      <c r="B12" s="155" t="s">
        <v>622</v>
      </c>
      <c r="C12" s="155" t="s">
        <v>592</v>
      </c>
      <c r="D12" s="155" t="s">
        <v>679</v>
      </c>
      <c r="E12" s="173">
        <v>0</v>
      </c>
      <c r="F12" s="173">
        <v>0</v>
      </c>
      <c r="G12" s="187">
        <v>2366666.67</v>
      </c>
      <c r="I12" s="186"/>
    </row>
    <row r="13" spans="1:9" ht="15.75" customHeight="1">
      <c r="B13" s="155" t="s">
        <v>622</v>
      </c>
      <c r="C13" s="155" t="s">
        <v>593</v>
      </c>
      <c r="D13" s="155" t="s">
        <v>679</v>
      </c>
      <c r="E13" s="173">
        <v>0</v>
      </c>
      <c r="F13" s="173">
        <v>0</v>
      </c>
      <c r="G13" s="187">
        <v>2366666.67</v>
      </c>
      <c r="I13" s="186"/>
    </row>
    <row r="14" spans="1:9" ht="15.75" customHeight="1">
      <c r="B14" s="155" t="s">
        <v>622</v>
      </c>
      <c r="C14" s="155" t="s">
        <v>594</v>
      </c>
      <c r="D14" s="155" t="s">
        <v>679</v>
      </c>
      <c r="E14" s="173">
        <v>0</v>
      </c>
      <c r="F14" s="173">
        <v>0</v>
      </c>
      <c r="G14" s="187">
        <v>2366666.67</v>
      </c>
      <c r="I14" s="186"/>
    </row>
    <row r="15" spans="1:9" ht="15.75" customHeight="1">
      <c r="B15" s="155" t="s">
        <v>622</v>
      </c>
      <c r="C15" s="155" t="s">
        <v>597</v>
      </c>
      <c r="D15" s="155" t="s">
        <v>679</v>
      </c>
      <c r="E15" s="173">
        <v>0</v>
      </c>
      <c r="F15" s="173">
        <v>0</v>
      </c>
      <c r="G15" s="187">
        <v>2366666.67</v>
      </c>
      <c r="I15" s="186"/>
    </row>
    <row r="16" spans="1:9" ht="15.75" customHeight="1">
      <c r="B16" s="155" t="s">
        <v>622</v>
      </c>
      <c r="C16" s="155" t="s">
        <v>600</v>
      </c>
      <c r="D16" s="155" t="s">
        <v>679</v>
      </c>
      <c r="E16" s="173">
        <v>0</v>
      </c>
      <c r="F16" s="173">
        <v>0</v>
      </c>
      <c r="G16" s="187">
        <v>2366666.67</v>
      </c>
      <c r="I16" s="186"/>
    </row>
    <row r="17" spans="2:9" ht="15.75" customHeight="1">
      <c r="B17" s="155" t="s">
        <v>622</v>
      </c>
      <c r="C17" s="155" t="s">
        <v>602</v>
      </c>
      <c r="D17" s="155" t="s">
        <v>679</v>
      </c>
      <c r="E17" s="173">
        <v>0</v>
      </c>
      <c r="F17" s="173">
        <v>0</v>
      </c>
      <c r="G17" s="187">
        <v>2366666.67</v>
      </c>
      <c r="I17" s="186"/>
    </row>
    <row r="18" spans="2:9" ht="15.75" customHeight="1">
      <c r="B18" s="155" t="s">
        <v>622</v>
      </c>
      <c r="C18" s="155" t="s">
        <v>604</v>
      </c>
      <c r="D18" s="155" t="s">
        <v>679</v>
      </c>
      <c r="E18" s="173">
        <v>0</v>
      </c>
      <c r="F18" s="173">
        <v>0</v>
      </c>
      <c r="G18" s="187">
        <v>2366666.67</v>
      </c>
      <c r="I18" s="186"/>
    </row>
    <row r="19" spans="2:9" ht="15.75" customHeight="1">
      <c r="B19" s="155" t="s">
        <v>622</v>
      </c>
      <c r="C19" s="155" t="s">
        <v>611</v>
      </c>
      <c r="D19" s="155" t="s">
        <v>679</v>
      </c>
      <c r="E19" s="173">
        <v>0</v>
      </c>
      <c r="F19" s="173">
        <v>0</v>
      </c>
      <c r="G19" s="187">
        <v>2366666.67</v>
      </c>
      <c r="I19" s="186"/>
    </row>
    <row r="20" spans="2:9" ht="15.75" customHeight="1">
      <c r="B20" s="155" t="s">
        <v>622</v>
      </c>
      <c r="C20" s="155" t="s">
        <v>608</v>
      </c>
      <c r="D20" s="155" t="s">
        <v>679</v>
      </c>
      <c r="E20" s="173">
        <v>0</v>
      </c>
      <c r="F20" s="173">
        <v>0</v>
      </c>
      <c r="G20" s="187">
        <v>2366666.67</v>
      </c>
      <c r="I20" s="186"/>
    </row>
    <row r="21" spans="2:9" ht="15.75" customHeight="1">
      <c r="B21" s="155" t="s">
        <v>622</v>
      </c>
      <c r="C21" s="155" t="s">
        <v>170</v>
      </c>
      <c r="D21" s="155" t="s">
        <v>596</v>
      </c>
      <c r="E21" s="173">
        <v>4117071</v>
      </c>
      <c r="F21" s="173">
        <v>3507071</v>
      </c>
      <c r="G21" s="187">
        <v>82833333.329999998</v>
      </c>
      <c r="I21" s="186"/>
    </row>
    <row r="22" spans="2:9" ht="15.75" customHeight="1">
      <c r="B22" s="155" t="s">
        <v>622</v>
      </c>
      <c r="C22" s="155" t="s">
        <v>172</v>
      </c>
      <c r="D22" s="155" t="s">
        <v>596</v>
      </c>
      <c r="E22" s="173">
        <v>3825443.7</v>
      </c>
      <c r="F22" s="173">
        <v>3215443.7</v>
      </c>
      <c r="G22" s="187">
        <v>82833333.329999998</v>
      </c>
      <c r="I22" s="186"/>
    </row>
    <row r="23" spans="2:9" ht="15.75" customHeight="1">
      <c r="B23" s="155" t="s">
        <v>622</v>
      </c>
      <c r="C23" s="155" t="s">
        <v>174</v>
      </c>
      <c r="D23" s="155" t="s">
        <v>596</v>
      </c>
      <c r="E23" s="173">
        <v>4439764.2300000004</v>
      </c>
      <c r="F23" s="173">
        <v>3829764.23</v>
      </c>
      <c r="G23" s="187">
        <v>82833333.329999998</v>
      </c>
      <c r="I23" s="186"/>
    </row>
    <row r="24" spans="2:9" ht="15.75" customHeight="1">
      <c r="B24" s="155" t="s">
        <v>622</v>
      </c>
      <c r="C24" s="155" t="s">
        <v>175</v>
      </c>
      <c r="D24" s="155" t="s">
        <v>596</v>
      </c>
      <c r="E24" s="173">
        <v>3215443.7</v>
      </c>
      <c r="F24" s="173">
        <v>3215443.7</v>
      </c>
      <c r="G24" s="187">
        <v>82833333.329999998</v>
      </c>
      <c r="I24" s="186"/>
    </row>
    <row r="25" spans="2:9" ht="15.75" customHeight="1">
      <c r="B25" s="155" t="s">
        <v>622</v>
      </c>
      <c r="C25" s="155" t="s">
        <v>177</v>
      </c>
      <c r="D25" s="155" t="s">
        <v>596</v>
      </c>
      <c r="E25" s="173">
        <v>3842203</v>
      </c>
      <c r="F25" s="173">
        <v>3232203</v>
      </c>
      <c r="G25" s="187">
        <v>82833333.329999998</v>
      </c>
      <c r="I25" s="186"/>
    </row>
    <row r="26" spans="2:9" ht="15.75" customHeight="1">
      <c r="B26" s="155" t="s">
        <v>622</v>
      </c>
      <c r="C26" s="155" t="s">
        <v>179</v>
      </c>
      <c r="D26" s="155" t="s">
        <v>596</v>
      </c>
      <c r="E26" s="173">
        <v>3215443.7</v>
      </c>
      <c r="F26" s="173">
        <v>3215443.7</v>
      </c>
      <c r="G26" s="187">
        <v>82833333.329999998</v>
      </c>
      <c r="I26" s="186"/>
    </row>
    <row r="27" spans="2:9" ht="15.75" customHeight="1">
      <c r="B27" s="155" t="s">
        <v>622</v>
      </c>
      <c r="C27" s="155" t="s">
        <v>181</v>
      </c>
      <c r="D27" s="155" t="s">
        <v>596</v>
      </c>
      <c r="E27" s="173">
        <v>4165327</v>
      </c>
      <c r="F27" s="173">
        <v>3555327</v>
      </c>
      <c r="G27" s="187">
        <v>82833333.329999998</v>
      </c>
      <c r="I27" s="186"/>
    </row>
    <row r="28" spans="2:9" ht="15.75" customHeight="1">
      <c r="B28" s="155" t="s">
        <v>622</v>
      </c>
      <c r="C28" s="155" t="s">
        <v>182</v>
      </c>
      <c r="D28" s="155" t="s">
        <v>596</v>
      </c>
      <c r="E28" s="173">
        <v>3849433</v>
      </c>
      <c r="F28" s="173">
        <v>3239433</v>
      </c>
      <c r="G28" s="187">
        <v>82833333.329999998</v>
      </c>
      <c r="I28" s="186"/>
    </row>
    <row r="29" spans="2:9" ht="15.75" customHeight="1">
      <c r="B29" s="155" t="s">
        <v>622</v>
      </c>
      <c r="C29" s="155" t="s">
        <v>184</v>
      </c>
      <c r="D29" s="155" t="s">
        <v>596</v>
      </c>
      <c r="E29" s="173">
        <v>4901971</v>
      </c>
      <c r="F29" s="173">
        <v>4291971</v>
      </c>
      <c r="G29" s="187">
        <v>82833333.329999998</v>
      </c>
      <c r="I29" s="186"/>
    </row>
    <row r="30" spans="2:9" ht="15.75" customHeight="1">
      <c r="B30" s="155" t="s">
        <v>550</v>
      </c>
      <c r="C30" s="155" t="s">
        <v>557</v>
      </c>
      <c r="D30" s="155" t="s">
        <v>679</v>
      </c>
      <c r="E30" s="173">
        <v>0</v>
      </c>
      <c r="F30" s="173">
        <v>0</v>
      </c>
      <c r="G30" s="187">
        <v>2366666.67</v>
      </c>
      <c r="I30" s="186"/>
    </row>
    <row r="31" spans="2:9" ht="15.75" customHeight="1">
      <c r="B31" s="155" t="s">
        <v>550</v>
      </c>
      <c r="C31" s="155" t="s">
        <v>559</v>
      </c>
      <c r="D31" s="155" t="s">
        <v>679</v>
      </c>
      <c r="E31" s="173">
        <v>0</v>
      </c>
      <c r="F31" s="173">
        <v>0</v>
      </c>
      <c r="G31" s="187">
        <v>2366666.67</v>
      </c>
      <c r="I31" s="186"/>
    </row>
    <row r="32" spans="2:9" ht="15.75" customHeight="1">
      <c r="B32" s="155" t="s">
        <v>550</v>
      </c>
      <c r="C32" s="155" t="s">
        <v>563</v>
      </c>
      <c r="D32" s="155" t="s">
        <v>679</v>
      </c>
      <c r="E32" s="173">
        <v>0</v>
      </c>
      <c r="F32" s="173">
        <v>0</v>
      </c>
      <c r="G32" s="187">
        <v>2366666.67</v>
      </c>
      <c r="I32" s="186"/>
    </row>
    <row r="33" spans="2:9" ht="15.75" customHeight="1">
      <c r="B33" s="155" t="s">
        <v>550</v>
      </c>
      <c r="C33" s="155" t="s">
        <v>565</v>
      </c>
      <c r="D33" s="155" t="s">
        <v>679</v>
      </c>
      <c r="E33" s="173">
        <v>0</v>
      </c>
      <c r="F33" s="173">
        <v>0</v>
      </c>
      <c r="G33" s="187">
        <v>2366666.67</v>
      </c>
      <c r="I33" s="186"/>
    </row>
    <row r="34" spans="2:9" ht="15.75" customHeight="1">
      <c r="B34" s="155" t="s">
        <v>550</v>
      </c>
      <c r="C34" s="155" t="s">
        <v>567</v>
      </c>
      <c r="D34" s="155" t="s">
        <v>679</v>
      </c>
      <c r="E34" s="173">
        <v>0</v>
      </c>
      <c r="F34" s="173">
        <v>0</v>
      </c>
      <c r="G34" s="187">
        <v>2366666.67</v>
      </c>
      <c r="I34" s="186"/>
    </row>
    <row r="35" spans="2:9" ht="15.75" customHeight="1">
      <c r="B35" s="155" t="s">
        <v>550</v>
      </c>
      <c r="C35" s="155" t="s">
        <v>569</v>
      </c>
      <c r="D35" s="155" t="s">
        <v>679</v>
      </c>
      <c r="E35" s="173">
        <v>0</v>
      </c>
      <c r="F35" s="173">
        <v>0</v>
      </c>
      <c r="G35" s="187">
        <v>2366666.67</v>
      </c>
      <c r="I35" s="186"/>
    </row>
    <row r="36" spans="2:9" ht="14.25" customHeight="1">
      <c r="B36" s="155" t="s">
        <v>550</v>
      </c>
      <c r="C36" s="155" t="s">
        <v>570</v>
      </c>
      <c r="D36" s="155" t="s">
        <v>679</v>
      </c>
      <c r="E36" s="173">
        <v>0</v>
      </c>
      <c r="F36" s="173">
        <v>0</v>
      </c>
      <c r="G36" s="187">
        <v>2366666.67</v>
      </c>
      <c r="I36" s="186"/>
    </row>
    <row r="37" spans="2:9" ht="14.25" customHeight="1">
      <c r="B37" s="155" t="s">
        <v>550</v>
      </c>
      <c r="C37" s="155" t="s">
        <v>571</v>
      </c>
      <c r="D37" s="155" t="s">
        <v>679</v>
      </c>
      <c r="E37" s="173">
        <v>0</v>
      </c>
      <c r="F37" s="173">
        <v>0</v>
      </c>
      <c r="G37" s="187">
        <v>2366666.67</v>
      </c>
      <c r="I37" s="186"/>
    </row>
    <row r="38" spans="2:9" ht="14.25" customHeight="1">
      <c r="B38" s="155" t="s">
        <v>550</v>
      </c>
      <c r="C38" s="155" t="s">
        <v>572</v>
      </c>
      <c r="D38" s="155" t="s">
        <v>679</v>
      </c>
      <c r="E38" s="173">
        <v>0</v>
      </c>
      <c r="F38" s="173">
        <v>0</v>
      </c>
      <c r="G38" s="187">
        <v>2366666.67</v>
      </c>
      <c r="I38" s="186"/>
    </row>
    <row r="39" spans="2:9" ht="14.25" customHeight="1">
      <c r="B39" s="155" t="s">
        <v>550</v>
      </c>
      <c r="C39" s="155" t="s">
        <v>575</v>
      </c>
      <c r="D39" s="155" t="s">
        <v>679</v>
      </c>
      <c r="E39" s="173">
        <v>0</v>
      </c>
      <c r="F39" s="173">
        <v>0</v>
      </c>
      <c r="G39" s="187">
        <v>2366666.67</v>
      </c>
      <c r="I39" s="186"/>
    </row>
    <row r="40" spans="2:9" ht="14.25" customHeight="1">
      <c r="B40" s="155" t="s">
        <v>550</v>
      </c>
      <c r="C40" s="155" t="s">
        <v>576</v>
      </c>
      <c r="D40" s="155" t="s">
        <v>679</v>
      </c>
      <c r="E40" s="173">
        <v>0</v>
      </c>
      <c r="F40" s="173">
        <v>0</v>
      </c>
      <c r="G40" s="187">
        <v>2366666.67</v>
      </c>
      <c r="I40" s="186"/>
    </row>
    <row r="41" spans="2:9" ht="14.25" customHeight="1">
      <c r="B41" s="155" t="s">
        <v>550</v>
      </c>
      <c r="C41" s="155" t="s">
        <v>578</v>
      </c>
      <c r="D41" s="155" t="s">
        <v>679</v>
      </c>
      <c r="E41" s="173">
        <v>0</v>
      </c>
      <c r="F41" s="173">
        <v>0</v>
      </c>
      <c r="G41" s="187">
        <v>2366666.67</v>
      </c>
      <c r="I41" s="186"/>
    </row>
    <row r="42" spans="2:9" ht="14.25" customHeight="1">
      <c r="B42" s="155" t="s">
        <v>550</v>
      </c>
      <c r="C42" s="155" t="s">
        <v>580</v>
      </c>
      <c r="D42" s="155" t="s">
        <v>679</v>
      </c>
      <c r="E42" s="173">
        <v>0</v>
      </c>
      <c r="F42" s="173">
        <v>0</v>
      </c>
      <c r="G42" s="187">
        <v>2366666.67</v>
      </c>
      <c r="I42" s="186"/>
    </row>
    <row r="43" spans="2:9" ht="14.25" customHeight="1">
      <c r="B43" s="155" t="s">
        <v>550</v>
      </c>
      <c r="C43" s="155" t="s">
        <v>581</v>
      </c>
      <c r="D43" s="155" t="s">
        <v>679</v>
      </c>
      <c r="E43" s="173">
        <v>0</v>
      </c>
      <c r="F43" s="173">
        <v>0</v>
      </c>
      <c r="G43" s="187">
        <v>2366666.67</v>
      </c>
      <c r="I43" s="186"/>
    </row>
    <row r="44" spans="2:9" ht="14.25" customHeight="1">
      <c r="B44" s="155" t="s">
        <v>550</v>
      </c>
      <c r="C44" s="155" t="s">
        <v>583</v>
      </c>
      <c r="D44" s="155" t="s">
        <v>679</v>
      </c>
      <c r="E44" s="173">
        <v>0</v>
      </c>
      <c r="F44" s="173">
        <v>0</v>
      </c>
      <c r="G44" s="187">
        <v>2366666.67</v>
      </c>
      <c r="I44" s="186"/>
    </row>
    <row r="45" spans="2:9" ht="14.25" customHeight="1">
      <c r="B45" s="155" t="s">
        <v>550</v>
      </c>
      <c r="C45" s="155" t="s">
        <v>584</v>
      </c>
      <c r="D45" s="155" t="s">
        <v>679</v>
      </c>
      <c r="E45" s="173">
        <v>0</v>
      </c>
      <c r="F45" s="173">
        <v>0</v>
      </c>
      <c r="G45" s="187">
        <v>2366666.67</v>
      </c>
      <c r="I45" s="186"/>
    </row>
    <row r="46" spans="2:9" ht="14.25" customHeight="1">
      <c r="B46" s="155" t="s">
        <v>550</v>
      </c>
      <c r="C46" s="155" t="s">
        <v>585</v>
      </c>
      <c r="D46" s="155" t="s">
        <v>679</v>
      </c>
      <c r="E46" s="173">
        <v>0</v>
      </c>
      <c r="F46" s="173">
        <v>0</v>
      </c>
      <c r="G46" s="187">
        <v>2366666.67</v>
      </c>
      <c r="I46" s="186"/>
    </row>
    <row r="47" spans="2:9" ht="14.25" customHeight="1">
      <c r="B47" s="155" t="s">
        <v>550</v>
      </c>
      <c r="C47" s="155" t="s">
        <v>586</v>
      </c>
      <c r="D47" s="155" t="s">
        <v>679</v>
      </c>
      <c r="E47" s="173">
        <v>0</v>
      </c>
      <c r="F47" s="173">
        <v>0</v>
      </c>
      <c r="G47" s="187">
        <v>2366666.67</v>
      </c>
      <c r="I47" s="186"/>
    </row>
    <row r="48" spans="2:9" ht="14.25" customHeight="1">
      <c r="B48" s="155" t="s">
        <v>550</v>
      </c>
      <c r="C48" s="155" t="s">
        <v>587</v>
      </c>
      <c r="D48" s="155" t="s">
        <v>679</v>
      </c>
      <c r="E48" s="173">
        <v>0</v>
      </c>
      <c r="F48" s="173">
        <v>0</v>
      </c>
      <c r="G48" s="187">
        <v>2366666.67</v>
      </c>
      <c r="I48" s="186"/>
    </row>
    <row r="49" spans="1:9" ht="14.25" customHeight="1">
      <c r="B49" s="155" t="s">
        <v>550</v>
      </c>
      <c r="C49" s="155" t="s">
        <v>588</v>
      </c>
      <c r="D49" s="155" t="s">
        <v>679</v>
      </c>
      <c r="E49" s="173">
        <v>0</v>
      </c>
      <c r="F49" s="173">
        <v>0</v>
      </c>
      <c r="G49" s="187">
        <v>2366666.67</v>
      </c>
      <c r="I49" s="186"/>
    </row>
    <row r="50" spans="1:9" ht="14.25" customHeight="1">
      <c r="B50" s="155" t="s">
        <v>550</v>
      </c>
      <c r="C50" s="155" t="s">
        <v>162</v>
      </c>
      <c r="D50" s="155" t="s">
        <v>552</v>
      </c>
      <c r="E50" s="173">
        <v>3599170.25</v>
      </c>
      <c r="F50" s="173">
        <v>3599170.25</v>
      </c>
      <c r="G50" s="187">
        <v>82833333.329999998</v>
      </c>
      <c r="I50" s="186"/>
    </row>
    <row r="51" spans="1:9" ht="14.25" customHeight="1">
      <c r="B51" s="155" t="s">
        <v>550</v>
      </c>
      <c r="C51" s="155" t="s">
        <v>164</v>
      </c>
      <c r="D51" s="155" t="s">
        <v>552</v>
      </c>
      <c r="E51" s="173">
        <v>4232023.9000000004</v>
      </c>
      <c r="F51" s="173">
        <v>4232023.9000000004</v>
      </c>
      <c r="G51" s="187">
        <v>82833333.329999998</v>
      </c>
      <c r="I51" s="186"/>
    </row>
    <row r="52" spans="1:9" ht="14.25" customHeight="1">
      <c r="B52" s="155" t="s">
        <v>550</v>
      </c>
      <c r="C52" s="155" t="s">
        <v>166</v>
      </c>
      <c r="D52" s="155" t="s">
        <v>552</v>
      </c>
      <c r="E52" s="173">
        <v>4390444.5</v>
      </c>
      <c r="F52" s="173">
        <v>4390444.5</v>
      </c>
      <c r="G52" s="187">
        <v>82833333.329999998</v>
      </c>
      <c r="I52" s="186"/>
    </row>
    <row r="53" spans="1:9" ht="14.25" customHeight="1">
      <c r="B53" s="155" t="s">
        <v>550</v>
      </c>
      <c r="C53" s="155" t="s">
        <v>168</v>
      </c>
      <c r="D53" s="155" t="s">
        <v>552</v>
      </c>
      <c r="E53" s="173">
        <v>3376847.93</v>
      </c>
      <c r="F53" s="173">
        <v>3475407.68</v>
      </c>
      <c r="G53" s="187">
        <v>82833333.329999998</v>
      </c>
      <c r="I53" s="186"/>
    </row>
    <row r="54" spans="1:9" ht="14.25" customHeight="1">
      <c r="B54" s="155" t="s">
        <v>550</v>
      </c>
      <c r="C54" s="155" t="s">
        <v>561</v>
      </c>
      <c r="D54" s="155" t="s">
        <v>678</v>
      </c>
      <c r="E54" s="173">
        <v>3317618.88</v>
      </c>
      <c r="F54" s="173">
        <v>3317618.88</v>
      </c>
      <c r="G54" s="187">
        <v>47333333.329999998</v>
      </c>
      <c r="I54" s="186"/>
    </row>
    <row r="55" spans="1:9" ht="14.25" customHeight="1">
      <c r="B55" s="155" t="s">
        <v>550</v>
      </c>
      <c r="C55" s="155" t="s">
        <v>566</v>
      </c>
      <c r="D55" s="155" t="s">
        <v>678</v>
      </c>
      <c r="E55" s="173">
        <v>4115638.8</v>
      </c>
      <c r="F55" s="173">
        <v>4115638.8</v>
      </c>
      <c r="G55" s="187">
        <v>47333333.329999998</v>
      </c>
      <c r="I55" s="186"/>
    </row>
    <row r="56" spans="1:9" ht="14.25" customHeight="1">
      <c r="B56" s="155" t="s">
        <v>550</v>
      </c>
      <c r="C56" s="155" t="s">
        <v>568</v>
      </c>
      <c r="D56" s="155" t="s">
        <v>678</v>
      </c>
      <c r="E56" s="173">
        <v>3625473.8</v>
      </c>
      <c r="F56" s="173">
        <v>3625473.8</v>
      </c>
      <c r="G56" s="187">
        <v>47333333.329999998</v>
      </c>
      <c r="I56" s="186"/>
    </row>
    <row r="57" spans="1:9" ht="14.25" customHeight="1">
      <c r="B57" s="155" t="s">
        <v>550</v>
      </c>
      <c r="C57" s="155" t="s">
        <v>573</v>
      </c>
      <c r="D57" s="155" t="s">
        <v>678</v>
      </c>
      <c r="E57" s="173">
        <v>3786863.26</v>
      </c>
      <c r="F57" s="173">
        <v>3795823.23</v>
      </c>
      <c r="G57" s="187">
        <v>47333333.329999998</v>
      </c>
      <c r="I57" s="186"/>
    </row>
    <row r="58" spans="1:9" ht="14.25" customHeight="1">
      <c r="B58" s="155" t="s">
        <v>550</v>
      </c>
      <c r="C58" s="155" t="s">
        <v>574</v>
      </c>
      <c r="D58" s="155" t="s">
        <v>678</v>
      </c>
      <c r="E58" s="173">
        <v>3512145.95</v>
      </c>
      <c r="F58" s="173">
        <v>3512145.95</v>
      </c>
      <c r="G58" s="187">
        <v>47333333.329999998</v>
      </c>
      <c r="I58" s="186"/>
    </row>
    <row r="59" spans="1:9" ht="14.25" customHeight="1">
      <c r="B59" s="155" t="s">
        <v>550</v>
      </c>
      <c r="C59" s="155" t="s">
        <v>577</v>
      </c>
      <c r="D59" s="155" t="s">
        <v>678</v>
      </c>
      <c r="E59" s="173">
        <v>4115638.8</v>
      </c>
      <c r="F59" s="173">
        <v>4115638.8</v>
      </c>
      <c r="G59" s="187">
        <v>47333333.329999998</v>
      </c>
      <c r="I59" s="186"/>
    </row>
    <row r="60" spans="1:9" ht="14.25" customHeight="1">
      <c r="B60" s="155" t="s">
        <v>550</v>
      </c>
      <c r="C60" s="155" t="s">
        <v>579</v>
      </c>
      <c r="D60" s="155" t="s">
        <v>678</v>
      </c>
      <c r="E60" s="173">
        <v>4115638.8</v>
      </c>
      <c r="F60" s="173">
        <v>4115638.8</v>
      </c>
      <c r="G60" s="187">
        <v>47333333.329999998</v>
      </c>
      <c r="I60" s="186"/>
    </row>
    <row r="61" spans="1:9" ht="14.25" customHeight="1">
      <c r="B61" s="155" t="s">
        <v>550</v>
      </c>
      <c r="C61" s="155" t="s">
        <v>582</v>
      </c>
      <c r="D61" s="155" t="s">
        <v>678</v>
      </c>
      <c r="E61" s="173">
        <v>3254854.2</v>
      </c>
      <c r="F61" s="173">
        <v>3254854.2</v>
      </c>
      <c r="G61" s="187">
        <v>47333333.329999998</v>
      </c>
      <c r="I61" s="186"/>
    </row>
    <row r="62" spans="1:9" ht="14.25" customHeight="1">
      <c r="A62" s="47" t="s">
        <v>842</v>
      </c>
      <c r="B62" s="155"/>
      <c r="C62" s="155"/>
      <c r="D62" s="155"/>
      <c r="E62" s="173"/>
      <c r="F62" s="173"/>
      <c r="I62" s="186"/>
    </row>
    <row r="63" spans="1:9" ht="14.25" customHeight="1">
      <c r="A63" s="47" t="s">
        <v>843</v>
      </c>
      <c r="I63" s="186"/>
    </row>
    <row r="64" spans="1:9" ht="14.25" customHeight="1">
      <c r="I64" s="186"/>
    </row>
    <row r="65" spans="9:9" ht="14.25" customHeight="1">
      <c r="I65" s="186"/>
    </row>
    <row r="66" spans="9:9" ht="14.25" customHeight="1">
      <c r="I66" s="186"/>
    </row>
    <row r="67" spans="9:9" ht="14.25" customHeight="1">
      <c r="I67" s="186"/>
    </row>
    <row r="68" spans="9:9" ht="14.25" customHeight="1">
      <c r="I68" s="186"/>
    </row>
    <row r="69" spans="9:9" ht="14.25" customHeight="1">
      <c r="I69" s="186"/>
    </row>
    <row r="70" spans="9:9" ht="14.25" customHeight="1">
      <c r="I70" s="186"/>
    </row>
    <row r="71" spans="9:9" ht="14.25" customHeight="1">
      <c r="I71" s="186"/>
    </row>
    <row r="72" spans="9:9" ht="14.25" customHeight="1">
      <c r="I72" s="186"/>
    </row>
    <row r="73" spans="9:9" ht="14.25" customHeight="1">
      <c r="I73" s="186"/>
    </row>
    <row r="74" spans="9:9" ht="14.25" customHeight="1">
      <c r="I74" s="186"/>
    </row>
    <row r="75" spans="9:9" ht="14.25" customHeight="1">
      <c r="I75" s="186"/>
    </row>
    <row r="76" spans="9:9" ht="14.25" customHeight="1">
      <c r="I76" s="186"/>
    </row>
    <row r="77" spans="9:9" ht="14.25" customHeight="1">
      <c r="I77" s="186"/>
    </row>
    <row r="78" spans="9:9" ht="14.25" customHeight="1">
      <c r="I78" s="186"/>
    </row>
    <row r="79" spans="9:9" ht="14.25" customHeight="1">
      <c r="I79" s="18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75"/>
  <sheetViews>
    <sheetView zoomScaleNormal="100" workbookViewId="0"/>
  </sheetViews>
  <sheetFormatPr defaultColWidth="12.6328125" defaultRowHeight="12.5"/>
  <cols>
    <col min="2" max="2" width="17.453125" customWidth="1"/>
    <col min="3" max="3" width="13.90625" customWidth="1"/>
    <col min="8" max="8" width="14.6328125" customWidth="1"/>
    <col min="9" max="9" width="16.26953125" customWidth="1"/>
    <col min="10" max="10" width="6" customWidth="1"/>
    <col min="12" max="12" width="16.26953125" customWidth="1"/>
    <col min="13" max="13" width="6.36328125" customWidth="1"/>
    <col min="15" max="15" width="16.26953125" customWidth="1"/>
  </cols>
  <sheetData>
    <row r="1" spans="2:16" ht="15.75" customHeight="1">
      <c r="H1" s="47" t="s">
        <v>844</v>
      </c>
    </row>
    <row r="2" spans="2:16" ht="15.75" customHeight="1">
      <c r="H2" s="85" t="s">
        <v>845</v>
      </c>
      <c r="K2" s="85" t="s">
        <v>846</v>
      </c>
      <c r="N2" s="85" t="s">
        <v>847</v>
      </c>
    </row>
    <row r="3" spans="2:16" ht="15.75" customHeight="1">
      <c r="B3" s="188" t="s">
        <v>625</v>
      </c>
      <c r="C3" s="189" t="s">
        <v>154</v>
      </c>
      <c r="D3" s="189" t="s">
        <v>545</v>
      </c>
      <c r="E3" s="190" t="s">
        <v>748</v>
      </c>
      <c r="G3" s="191" t="s">
        <v>625</v>
      </c>
      <c r="H3" s="192" t="s">
        <v>679</v>
      </c>
      <c r="I3" s="192" t="s">
        <v>848</v>
      </c>
      <c r="K3" s="192" t="s">
        <v>679</v>
      </c>
      <c r="L3" s="192" t="s">
        <v>848</v>
      </c>
      <c r="N3" s="192" t="s">
        <v>679</v>
      </c>
      <c r="O3" s="192" t="s">
        <v>848</v>
      </c>
    </row>
    <row r="4" spans="2:16" ht="15.75" customHeight="1">
      <c r="B4" s="193" t="s">
        <v>716</v>
      </c>
      <c r="C4" s="193" t="s">
        <v>591</v>
      </c>
      <c r="D4" s="193" t="s">
        <v>679</v>
      </c>
      <c r="E4" s="193">
        <v>500</v>
      </c>
      <c r="F4" s="47">
        <f t="shared" ref="F4:F30" si="0">4*E4</f>
        <v>2000</v>
      </c>
      <c r="G4" s="117" t="s">
        <v>743</v>
      </c>
      <c r="H4" s="117" t="s">
        <v>611</v>
      </c>
      <c r="I4" s="117">
        <v>1000</v>
      </c>
      <c r="J4" s="47">
        <f t="shared" ref="J4:J13" si="1">4*I4</f>
        <v>4000</v>
      </c>
      <c r="K4" s="117" t="s">
        <v>567</v>
      </c>
      <c r="L4" s="117">
        <v>400</v>
      </c>
      <c r="M4" s="47">
        <f t="shared" ref="M4:M16" si="2">4*L4</f>
        <v>1600</v>
      </c>
      <c r="N4" s="117" t="s">
        <v>849</v>
      </c>
      <c r="O4" s="117">
        <v>400</v>
      </c>
      <c r="P4" s="47">
        <f>4*O4</f>
        <v>1600</v>
      </c>
    </row>
    <row r="5" spans="2:16" ht="15.75" customHeight="1">
      <c r="B5" s="193" t="s">
        <v>714</v>
      </c>
      <c r="C5" s="193" t="s">
        <v>592</v>
      </c>
      <c r="D5" s="193" t="s">
        <v>679</v>
      </c>
      <c r="E5" s="193">
        <v>400</v>
      </c>
      <c r="F5" s="47">
        <f t="shared" si="0"/>
        <v>1600</v>
      </c>
      <c r="G5" s="117" t="s">
        <v>733</v>
      </c>
      <c r="H5" s="117" t="s">
        <v>597</v>
      </c>
      <c r="I5" s="117">
        <v>400</v>
      </c>
      <c r="J5" s="47">
        <f t="shared" si="1"/>
        <v>1600</v>
      </c>
      <c r="K5" s="117" t="s">
        <v>569</v>
      </c>
      <c r="L5" s="117">
        <v>400</v>
      </c>
      <c r="M5" s="47">
        <f t="shared" si="2"/>
        <v>1600</v>
      </c>
      <c r="N5" s="117" t="s">
        <v>616</v>
      </c>
      <c r="O5" s="117">
        <v>300</v>
      </c>
      <c r="P5" s="47">
        <f>4*O5</f>
        <v>1200</v>
      </c>
    </row>
    <row r="6" spans="2:16" ht="15.75" customHeight="1">
      <c r="B6" s="193" t="s">
        <v>722</v>
      </c>
      <c r="C6" s="193" t="s">
        <v>559</v>
      </c>
      <c r="D6" s="193" t="s">
        <v>679</v>
      </c>
      <c r="E6" s="193">
        <v>500</v>
      </c>
      <c r="F6" s="47">
        <f t="shared" si="0"/>
        <v>2000</v>
      </c>
      <c r="G6" s="117" t="s">
        <v>738</v>
      </c>
      <c r="H6" s="117" t="s">
        <v>600</v>
      </c>
      <c r="I6" s="117">
        <v>400</v>
      </c>
      <c r="J6" s="47">
        <f t="shared" si="1"/>
        <v>1600</v>
      </c>
      <c r="K6" s="117" t="s">
        <v>570</v>
      </c>
      <c r="L6" s="117">
        <v>400</v>
      </c>
      <c r="M6" s="47">
        <f t="shared" si="2"/>
        <v>1600</v>
      </c>
      <c r="N6" s="117" t="s">
        <v>614</v>
      </c>
      <c r="O6" s="117">
        <v>600</v>
      </c>
      <c r="P6" s="47">
        <f>4*O6</f>
        <v>2400</v>
      </c>
    </row>
    <row r="7" spans="2:16" ht="15.75" customHeight="1">
      <c r="B7" s="193" t="s">
        <v>718</v>
      </c>
      <c r="C7" s="193" t="s">
        <v>593</v>
      </c>
      <c r="D7" s="193" t="s">
        <v>679</v>
      </c>
      <c r="E7" s="193">
        <v>800</v>
      </c>
      <c r="F7" s="47">
        <f t="shared" si="0"/>
        <v>3200</v>
      </c>
      <c r="G7" s="117" t="s">
        <v>714</v>
      </c>
      <c r="H7" s="117" t="s">
        <v>592</v>
      </c>
      <c r="I7" s="117">
        <v>400</v>
      </c>
      <c r="J7" s="47">
        <f t="shared" si="1"/>
        <v>1600</v>
      </c>
      <c r="K7" s="117" t="s">
        <v>578</v>
      </c>
      <c r="L7" s="117">
        <v>400</v>
      </c>
      <c r="M7" s="47">
        <f t="shared" si="2"/>
        <v>1600</v>
      </c>
      <c r="N7" s="117" t="s">
        <v>615</v>
      </c>
      <c r="O7" s="117">
        <v>500</v>
      </c>
      <c r="P7" s="47">
        <f>4*O7</f>
        <v>2000</v>
      </c>
    </row>
    <row r="8" spans="2:16" ht="15.75" customHeight="1">
      <c r="B8" s="193" t="s">
        <v>725</v>
      </c>
      <c r="C8" s="193" t="s">
        <v>563</v>
      </c>
      <c r="D8" s="193" t="s">
        <v>679</v>
      </c>
      <c r="E8" s="193">
        <v>500</v>
      </c>
      <c r="F8" s="47">
        <f t="shared" si="0"/>
        <v>2000</v>
      </c>
      <c r="G8" s="117" t="s">
        <v>745</v>
      </c>
      <c r="H8" s="117" t="s">
        <v>608</v>
      </c>
      <c r="I8" s="117">
        <v>400</v>
      </c>
      <c r="J8" s="47">
        <f t="shared" si="1"/>
        <v>1600</v>
      </c>
      <c r="K8" s="117" t="s">
        <v>584</v>
      </c>
      <c r="L8" s="117">
        <v>400</v>
      </c>
      <c r="M8" s="47">
        <f t="shared" si="2"/>
        <v>1600</v>
      </c>
    </row>
    <row r="9" spans="2:16" ht="15.75" customHeight="1">
      <c r="B9" s="193" t="s">
        <v>721</v>
      </c>
      <c r="C9" s="193" t="s">
        <v>750</v>
      </c>
      <c r="D9" s="193" t="s">
        <v>679</v>
      </c>
      <c r="E9" s="193">
        <v>200</v>
      </c>
      <c r="F9" s="47">
        <f t="shared" si="0"/>
        <v>800</v>
      </c>
      <c r="G9" s="117" t="s">
        <v>720</v>
      </c>
      <c r="H9" s="117" t="s">
        <v>604</v>
      </c>
      <c r="I9" s="117">
        <v>800</v>
      </c>
      <c r="J9" s="47">
        <f t="shared" si="1"/>
        <v>3200</v>
      </c>
      <c r="K9" s="117" t="s">
        <v>585</v>
      </c>
      <c r="L9" s="117">
        <v>400</v>
      </c>
      <c r="M9" s="47">
        <f t="shared" si="2"/>
        <v>1600</v>
      </c>
    </row>
    <row r="10" spans="2:16" ht="15.75" customHeight="1">
      <c r="B10" s="193" t="s">
        <v>730</v>
      </c>
      <c r="C10" s="193" t="s">
        <v>567</v>
      </c>
      <c r="D10" s="193" t="s">
        <v>679</v>
      </c>
      <c r="E10" s="193">
        <v>400</v>
      </c>
      <c r="F10" s="47">
        <f t="shared" si="0"/>
        <v>1600</v>
      </c>
      <c r="G10" s="117" t="s">
        <v>718</v>
      </c>
      <c r="H10" s="117" t="s">
        <v>593</v>
      </c>
      <c r="I10" s="117">
        <v>800</v>
      </c>
      <c r="J10" s="47">
        <f t="shared" si="1"/>
        <v>3200</v>
      </c>
      <c r="K10" s="117" t="s">
        <v>563</v>
      </c>
      <c r="L10" s="117">
        <v>500</v>
      </c>
      <c r="M10" s="47">
        <f t="shared" si="2"/>
        <v>2000</v>
      </c>
    </row>
    <row r="11" spans="2:16" ht="15.75" customHeight="1">
      <c r="B11" s="193" t="s">
        <v>731</v>
      </c>
      <c r="C11" s="193" t="s">
        <v>569</v>
      </c>
      <c r="D11" s="193" t="s">
        <v>679</v>
      </c>
      <c r="E11" s="193">
        <v>400</v>
      </c>
      <c r="F11" s="47">
        <f t="shared" si="0"/>
        <v>1600</v>
      </c>
      <c r="G11" s="117" t="s">
        <v>709</v>
      </c>
      <c r="H11" s="117" t="s">
        <v>602</v>
      </c>
      <c r="I11" s="117">
        <v>600</v>
      </c>
      <c r="J11" s="47">
        <f t="shared" si="1"/>
        <v>2400</v>
      </c>
      <c r="K11" s="117" t="s">
        <v>850</v>
      </c>
      <c r="L11" s="117">
        <v>500</v>
      </c>
      <c r="M11" s="47">
        <f t="shared" si="2"/>
        <v>2000</v>
      </c>
    </row>
    <row r="12" spans="2:16" ht="15.75" customHeight="1">
      <c r="B12" s="193" t="s">
        <v>732</v>
      </c>
      <c r="C12" s="193" t="s">
        <v>570</v>
      </c>
      <c r="D12" s="193" t="s">
        <v>679</v>
      </c>
      <c r="E12" s="193">
        <v>400</v>
      </c>
      <c r="F12" s="47">
        <f t="shared" si="0"/>
        <v>1600</v>
      </c>
      <c r="G12" s="117" t="s">
        <v>716</v>
      </c>
      <c r="H12" s="117" t="s">
        <v>591</v>
      </c>
      <c r="I12" s="117">
        <v>500</v>
      </c>
      <c r="J12" s="47">
        <f t="shared" si="1"/>
        <v>2000</v>
      </c>
      <c r="K12" s="117" t="s">
        <v>587</v>
      </c>
      <c r="L12" s="117">
        <v>500</v>
      </c>
      <c r="M12" s="47">
        <f t="shared" si="2"/>
        <v>2000</v>
      </c>
    </row>
    <row r="13" spans="2:16" ht="15.75" customHeight="1">
      <c r="B13" s="193" t="s">
        <v>733</v>
      </c>
      <c r="C13" s="193" t="s">
        <v>597</v>
      </c>
      <c r="D13" s="193" t="s">
        <v>679</v>
      </c>
      <c r="E13" s="193">
        <v>400</v>
      </c>
      <c r="F13" s="47">
        <f t="shared" si="0"/>
        <v>1600</v>
      </c>
      <c r="G13" s="117" t="s">
        <v>721</v>
      </c>
      <c r="H13" s="117" t="s">
        <v>750</v>
      </c>
      <c r="I13" s="117">
        <v>200</v>
      </c>
      <c r="J13" s="47">
        <f t="shared" si="1"/>
        <v>800</v>
      </c>
      <c r="K13" s="117" t="s">
        <v>559</v>
      </c>
      <c r="L13" s="117">
        <v>500</v>
      </c>
      <c r="M13" s="47">
        <f t="shared" si="2"/>
        <v>2000</v>
      </c>
    </row>
    <row r="14" spans="2:16" ht="15.75" customHeight="1">
      <c r="B14" s="193" t="s">
        <v>735</v>
      </c>
      <c r="C14" s="193" t="s">
        <v>575</v>
      </c>
      <c r="D14" s="193" t="s">
        <v>679</v>
      </c>
      <c r="E14" s="193">
        <v>500</v>
      </c>
      <c r="F14" s="47">
        <f t="shared" si="0"/>
        <v>2000</v>
      </c>
      <c r="K14" s="117" t="s">
        <v>581</v>
      </c>
      <c r="L14" s="117">
        <v>500</v>
      </c>
      <c r="M14" s="47">
        <f t="shared" si="2"/>
        <v>2000</v>
      </c>
    </row>
    <row r="15" spans="2:16" ht="15.75" customHeight="1">
      <c r="B15" s="193" t="s">
        <v>723</v>
      </c>
      <c r="C15" s="193" t="s">
        <v>576</v>
      </c>
      <c r="D15" s="193" t="s">
        <v>679</v>
      </c>
      <c r="E15" s="193">
        <v>350</v>
      </c>
      <c r="F15" s="47">
        <f t="shared" si="0"/>
        <v>1400</v>
      </c>
      <c r="G15" s="47">
        <f>100/15</f>
        <v>6.666666666666667</v>
      </c>
      <c r="K15" s="117" t="s">
        <v>583</v>
      </c>
      <c r="L15" s="117">
        <v>500</v>
      </c>
      <c r="M15" s="47">
        <f t="shared" si="2"/>
        <v>2000</v>
      </c>
    </row>
    <row r="16" spans="2:16" ht="15.75" customHeight="1">
      <c r="B16" s="193" t="s">
        <v>738</v>
      </c>
      <c r="C16" s="193" t="s">
        <v>600</v>
      </c>
      <c r="D16" s="193" t="s">
        <v>679</v>
      </c>
      <c r="E16" s="193">
        <v>400</v>
      </c>
      <c r="F16" s="47">
        <f t="shared" si="0"/>
        <v>1600</v>
      </c>
      <c r="K16" s="117" t="s">
        <v>576</v>
      </c>
      <c r="L16" s="117">
        <v>350</v>
      </c>
      <c r="M16" s="47">
        <f t="shared" si="2"/>
        <v>1400</v>
      </c>
    </row>
    <row r="17" spans="2:15" ht="15.75" customHeight="1">
      <c r="B17" s="193" t="s">
        <v>736</v>
      </c>
      <c r="C17" s="193" t="s">
        <v>578</v>
      </c>
      <c r="D17" s="193" t="s">
        <v>679</v>
      </c>
      <c r="E17" s="193">
        <v>400</v>
      </c>
      <c r="F17" s="47">
        <f t="shared" si="0"/>
        <v>1600</v>
      </c>
    </row>
    <row r="18" spans="2:15" ht="15.75" customHeight="1">
      <c r="B18" s="193" t="s">
        <v>709</v>
      </c>
      <c r="C18" s="193" t="s">
        <v>602</v>
      </c>
      <c r="D18" s="193" t="s">
        <v>679</v>
      </c>
      <c r="E18" s="193">
        <v>600</v>
      </c>
      <c r="F18" s="47">
        <f t="shared" si="0"/>
        <v>2400</v>
      </c>
    </row>
    <row r="19" spans="2:15" ht="15.75" customHeight="1">
      <c r="B19" s="193" t="s">
        <v>741</v>
      </c>
      <c r="C19" s="193" t="s">
        <v>581</v>
      </c>
      <c r="D19" s="193" t="s">
        <v>679</v>
      </c>
      <c r="E19" s="193">
        <v>500</v>
      </c>
      <c r="F19" s="47">
        <f t="shared" si="0"/>
        <v>2000</v>
      </c>
      <c r="G19" s="47" t="s">
        <v>851</v>
      </c>
    </row>
    <row r="20" spans="2:15" ht="15.75" customHeight="1">
      <c r="B20" s="193" t="s">
        <v>720</v>
      </c>
      <c r="C20" s="193" t="s">
        <v>604</v>
      </c>
      <c r="D20" s="193" t="s">
        <v>679</v>
      </c>
      <c r="E20" s="193">
        <v>800</v>
      </c>
      <c r="F20" s="47">
        <f t="shared" si="0"/>
        <v>3200</v>
      </c>
    </row>
    <row r="21" spans="2:15" ht="15.75" customHeight="1">
      <c r="B21" s="193" t="s">
        <v>742</v>
      </c>
      <c r="C21" s="193" t="s">
        <v>583</v>
      </c>
      <c r="D21" s="193" t="s">
        <v>679</v>
      </c>
      <c r="E21" s="193">
        <v>500</v>
      </c>
      <c r="F21" s="47">
        <f t="shared" si="0"/>
        <v>2000</v>
      </c>
    </row>
    <row r="22" spans="2:15" ht="15.75" customHeight="1">
      <c r="B22" s="193" t="s">
        <v>743</v>
      </c>
      <c r="C22" s="193" t="s">
        <v>611</v>
      </c>
      <c r="D22" s="193" t="s">
        <v>679</v>
      </c>
      <c r="E22" s="193">
        <v>1000</v>
      </c>
      <c r="F22" s="47">
        <f t="shared" si="0"/>
        <v>4000</v>
      </c>
    </row>
    <row r="23" spans="2:15" ht="15.75" customHeight="1">
      <c r="B23" s="193" t="s">
        <v>737</v>
      </c>
      <c r="C23" s="193" t="s">
        <v>584</v>
      </c>
      <c r="D23" s="193" t="s">
        <v>679</v>
      </c>
      <c r="E23" s="193">
        <v>400</v>
      </c>
      <c r="F23" s="47">
        <f t="shared" si="0"/>
        <v>1600</v>
      </c>
    </row>
    <row r="24" spans="2:15" ht="15.75" customHeight="1">
      <c r="B24" s="193" t="s">
        <v>745</v>
      </c>
      <c r="C24" s="193" t="s">
        <v>608</v>
      </c>
      <c r="D24" s="193" t="s">
        <v>679</v>
      </c>
      <c r="E24" s="193">
        <v>400</v>
      </c>
      <c r="F24" s="47">
        <f t="shared" si="0"/>
        <v>1600</v>
      </c>
    </row>
    <row r="25" spans="2:15" ht="15.75" customHeight="1">
      <c r="B25" s="193" t="s">
        <v>739</v>
      </c>
      <c r="C25" s="193" t="s">
        <v>585</v>
      </c>
      <c r="D25" s="193" t="s">
        <v>679</v>
      </c>
      <c r="E25" s="193">
        <v>400</v>
      </c>
      <c r="F25" s="47">
        <f t="shared" si="0"/>
        <v>1600</v>
      </c>
    </row>
    <row r="26" spans="2:15" ht="15.75" customHeight="1">
      <c r="B26" s="193" t="s">
        <v>746</v>
      </c>
      <c r="C26" s="193" t="s">
        <v>587</v>
      </c>
      <c r="D26" s="193" t="s">
        <v>679</v>
      </c>
      <c r="E26" s="193">
        <v>500</v>
      </c>
      <c r="F26" s="47">
        <f t="shared" si="0"/>
        <v>2000</v>
      </c>
    </row>
    <row r="27" spans="2:15" ht="15.75" customHeight="1">
      <c r="B27" s="194" t="s">
        <v>551</v>
      </c>
      <c r="C27" s="194" t="s">
        <v>158</v>
      </c>
      <c r="D27" s="194" t="s">
        <v>552</v>
      </c>
      <c r="E27" s="194">
        <v>5280</v>
      </c>
      <c r="F27" s="47">
        <f t="shared" si="0"/>
        <v>21120</v>
      </c>
    </row>
    <row r="28" spans="2:15" ht="15.75" customHeight="1">
      <c r="B28" s="194" t="s">
        <v>556</v>
      </c>
      <c r="C28" s="194" t="s">
        <v>162</v>
      </c>
      <c r="D28" s="194" t="s">
        <v>552</v>
      </c>
      <c r="E28" s="194">
        <v>1640</v>
      </c>
      <c r="F28" s="47">
        <f t="shared" si="0"/>
        <v>6560</v>
      </c>
    </row>
    <row r="29" spans="2:15" ht="15.75" customHeight="1">
      <c r="B29" s="194" t="s">
        <v>558</v>
      </c>
      <c r="C29" s="194" t="s">
        <v>160</v>
      </c>
      <c r="D29" s="194" t="s">
        <v>552</v>
      </c>
      <c r="E29" s="194">
        <v>1600</v>
      </c>
      <c r="F29" s="47">
        <f t="shared" si="0"/>
        <v>6400</v>
      </c>
    </row>
    <row r="30" spans="2:15" ht="15.75" customHeight="1">
      <c r="B30" s="194" t="s">
        <v>560</v>
      </c>
      <c r="C30" s="194" t="s">
        <v>164</v>
      </c>
      <c r="D30" s="194" t="s">
        <v>552</v>
      </c>
      <c r="E30" s="194">
        <v>2920</v>
      </c>
      <c r="F30" s="47">
        <f t="shared" si="0"/>
        <v>11680</v>
      </c>
    </row>
    <row r="31" spans="2:15" ht="15.75" customHeight="1">
      <c r="B31" s="194" t="s">
        <v>562</v>
      </c>
      <c r="C31" s="194" t="s">
        <v>166</v>
      </c>
      <c r="D31" s="194" t="s">
        <v>552</v>
      </c>
      <c r="E31" s="194">
        <v>3400</v>
      </c>
      <c r="K31" s="54" t="s">
        <v>704</v>
      </c>
      <c r="L31" s="54" t="s">
        <v>711</v>
      </c>
      <c r="M31" s="54" t="s">
        <v>712</v>
      </c>
      <c r="N31" s="54" t="s">
        <v>705</v>
      </c>
      <c r="O31" s="54" t="s">
        <v>713</v>
      </c>
    </row>
    <row r="32" spans="2:15" ht="15.75" customHeight="1">
      <c r="B32" s="194" t="s">
        <v>564</v>
      </c>
      <c r="C32" s="194" t="s">
        <v>168</v>
      </c>
      <c r="D32" s="194" t="s">
        <v>552</v>
      </c>
      <c r="E32" s="194">
        <v>1560</v>
      </c>
      <c r="K32" s="56" t="s">
        <v>595</v>
      </c>
      <c r="L32" s="56" t="s">
        <v>170</v>
      </c>
      <c r="M32" s="56" t="s">
        <v>709</v>
      </c>
      <c r="N32" s="56" t="s">
        <v>602</v>
      </c>
      <c r="O32" s="50">
        <v>161.958</v>
      </c>
    </row>
    <row r="33" spans="2:15" ht="15.75" customHeight="1">
      <c r="B33" s="194" t="s">
        <v>595</v>
      </c>
      <c r="C33" s="194" t="s">
        <v>170</v>
      </c>
      <c r="D33" s="194" t="s">
        <v>596</v>
      </c>
      <c r="E33" s="194">
        <v>2880</v>
      </c>
      <c r="K33" s="56" t="s">
        <v>598</v>
      </c>
      <c r="L33" s="56" t="s">
        <v>172</v>
      </c>
      <c r="M33" s="56" t="s">
        <v>714</v>
      </c>
      <c r="N33" s="56" t="s">
        <v>592</v>
      </c>
      <c r="O33" s="50">
        <v>144.846</v>
      </c>
    </row>
    <row r="34" spans="2:15" ht="15.75" customHeight="1">
      <c r="B34" s="194" t="s">
        <v>598</v>
      </c>
      <c r="C34" s="194" t="s">
        <v>172</v>
      </c>
      <c r="D34" s="194" t="s">
        <v>596</v>
      </c>
      <c r="E34" s="194">
        <v>5280</v>
      </c>
      <c r="K34" s="56" t="s">
        <v>598</v>
      </c>
      <c r="L34" s="56" t="s">
        <v>172</v>
      </c>
      <c r="M34" s="56" t="s">
        <v>718</v>
      </c>
      <c r="N34" s="56" t="s">
        <v>593</v>
      </c>
      <c r="O34" s="50">
        <v>203.11099999999999</v>
      </c>
    </row>
    <row r="35" spans="2:15" ht="15.75" customHeight="1">
      <c r="B35" s="194" t="s">
        <v>599</v>
      </c>
      <c r="C35" s="194" t="s">
        <v>174</v>
      </c>
      <c r="D35" s="194" t="s">
        <v>596</v>
      </c>
      <c r="E35" s="194">
        <v>520</v>
      </c>
      <c r="K35" s="56" t="s">
        <v>598</v>
      </c>
      <c r="L35" s="56" t="s">
        <v>172</v>
      </c>
      <c r="M35" s="56" t="s">
        <v>720</v>
      </c>
      <c r="N35" s="56" t="s">
        <v>604</v>
      </c>
      <c r="O35" s="50">
        <v>94.263999999999996</v>
      </c>
    </row>
    <row r="36" spans="2:15" ht="28.5" customHeight="1">
      <c r="B36" s="194" t="s">
        <v>601</v>
      </c>
      <c r="C36" s="194" t="s">
        <v>175</v>
      </c>
      <c r="D36" s="194" t="s">
        <v>596</v>
      </c>
      <c r="E36" s="194">
        <v>5280</v>
      </c>
      <c r="K36" s="56" t="s">
        <v>601</v>
      </c>
      <c r="L36" s="56" t="s">
        <v>175</v>
      </c>
      <c r="M36" s="56" t="s">
        <v>721</v>
      </c>
      <c r="N36" s="56" t="s">
        <v>594</v>
      </c>
      <c r="O36" s="56">
        <v>59.2</v>
      </c>
    </row>
    <row r="37" spans="2:15" ht="14.25" customHeight="1">
      <c r="B37" s="194" t="s">
        <v>603</v>
      </c>
      <c r="C37" s="194" t="s">
        <v>177</v>
      </c>
      <c r="D37" s="194" t="s">
        <v>596</v>
      </c>
      <c r="E37" s="194">
        <v>1040</v>
      </c>
      <c r="K37" s="56" t="s">
        <v>558</v>
      </c>
      <c r="L37" s="56" t="s">
        <v>160</v>
      </c>
      <c r="M37" s="56" t="s">
        <v>693</v>
      </c>
      <c r="N37" s="56" t="s">
        <v>613</v>
      </c>
      <c r="O37" s="50">
        <v>440.971</v>
      </c>
    </row>
    <row r="38" spans="2:15" ht="14.25" customHeight="1">
      <c r="B38" s="194" t="s">
        <v>605</v>
      </c>
      <c r="C38" s="194" t="s">
        <v>179</v>
      </c>
      <c r="D38" s="194" t="s">
        <v>596</v>
      </c>
      <c r="E38" s="194">
        <v>5280</v>
      </c>
      <c r="K38" s="56" t="s">
        <v>695</v>
      </c>
      <c r="L38" s="56" t="s">
        <v>568</v>
      </c>
      <c r="M38" s="56" t="s">
        <v>723</v>
      </c>
      <c r="N38" s="56" t="s">
        <v>576</v>
      </c>
      <c r="O38" s="56">
        <v>134.66</v>
      </c>
    </row>
    <row r="39" spans="2:15" ht="28.5" customHeight="1">
      <c r="B39" s="194" t="s">
        <v>606</v>
      </c>
      <c r="C39" s="194" t="s">
        <v>181</v>
      </c>
      <c r="D39" s="194" t="s">
        <v>596</v>
      </c>
      <c r="E39" s="194">
        <v>1800</v>
      </c>
      <c r="K39" s="56" t="s">
        <v>728</v>
      </c>
      <c r="L39" s="56" t="s">
        <v>729</v>
      </c>
      <c r="M39" s="56" t="s">
        <v>551</v>
      </c>
      <c r="N39" s="56" t="s">
        <v>158</v>
      </c>
      <c r="O39" s="50">
        <v>1044.4659999999999</v>
      </c>
    </row>
    <row r="40" spans="2:15" ht="28.5" customHeight="1">
      <c r="B40" s="194" t="s">
        <v>607</v>
      </c>
      <c r="C40" s="194" t="s">
        <v>182</v>
      </c>
      <c r="D40" s="194" t="s">
        <v>596</v>
      </c>
      <c r="E40" s="194">
        <v>1000</v>
      </c>
      <c r="K40" s="56" t="s">
        <v>728</v>
      </c>
      <c r="L40" s="56" t="s">
        <v>729</v>
      </c>
      <c r="M40" s="56" t="s">
        <v>558</v>
      </c>
      <c r="N40" s="56" t="s">
        <v>160</v>
      </c>
      <c r="O40" s="50">
        <v>1144.6279999999999</v>
      </c>
    </row>
    <row r="41" spans="2:15" ht="14.25" customHeight="1">
      <c r="B41" s="194" t="s">
        <v>609</v>
      </c>
      <c r="C41" s="194" t="s">
        <v>184</v>
      </c>
      <c r="D41" s="194" t="s">
        <v>596</v>
      </c>
      <c r="E41" s="194">
        <v>520</v>
      </c>
      <c r="K41" s="56" t="s">
        <v>556</v>
      </c>
      <c r="L41" s="56" t="s">
        <v>162</v>
      </c>
      <c r="M41" s="56" t="s">
        <v>692</v>
      </c>
      <c r="N41" s="56" t="s">
        <v>561</v>
      </c>
      <c r="O41" s="56">
        <v>275.58</v>
      </c>
    </row>
    <row r="42" spans="2:15" ht="14.25" customHeight="1">
      <c r="B42" s="194" t="s">
        <v>692</v>
      </c>
      <c r="C42" s="194" t="s">
        <v>561</v>
      </c>
      <c r="D42" s="194" t="s">
        <v>678</v>
      </c>
      <c r="E42" s="194">
        <v>200</v>
      </c>
      <c r="K42" s="56" t="s">
        <v>556</v>
      </c>
      <c r="L42" s="56" t="s">
        <v>162</v>
      </c>
      <c r="M42" s="56" t="s">
        <v>724</v>
      </c>
      <c r="N42" s="56" t="s">
        <v>571</v>
      </c>
      <c r="O42" s="56">
        <v>154.22</v>
      </c>
    </row>
    <row r="43" spans="2:15" ht="14.25" customHeight="1">
      <c r="B43" s="193"/>
      <c r="C43" s="193"/>
      <c r="D43" s="193"/>
      <c r="E43" s="193"/>
      <c r="K43" s="56" t="s">
        <v>556</v>
      </c>
      <c r="L43" s="56" t="s">
        <v>162</v>
      </c>
      <c r="M43" s="56" t="s">
        <v>726</v>
      </c>
      <c r="N43" s="56" t="s">
        <v>588</v>
      </c>
      <c r="O43" s="56">
        <v>13.78</v>
      </c>
    </row>
    <row r="44" spans="2:15" ht="14.25" customHeight="1">
      <c r="B44" s="194" t="s">
        <v>693</v>
      </c>
      <c r="C44" s="194" t="s">
        <v>613</v>
      </c>
      <c r="D44" s="194" t="s">
        <v>678</v>
      </c>
      <c r="E44" s="194">
        <v>400</v>
      </c>
      <c r="K44" s="56" t="s">
        <v>558</v>
      </c>
      <c r="L44" s="56" t="s">
        <v>160</v>
      </c>
      <c r="M44" s="56" t="s">
        <v>696</v>
      </c>
      <c r="N44" s="56" t="s">
        <v>614</v>
      </c>
      <c r="O44" s="50">
        <v>1046.393</v>
      </c>
    </row>
    <row r="45" spans="2:15" ht="14.25" customHeight="1">
      <c r="B45" s="194" t="s">
        <v>694</v>
      </c>
      <c r="C45" s="194" t="s">
        <v>566</v>
      </c>
      <c r="D45" s="194" t="s">
        <v>678</v>
      </c>
      <c r="E45" s="194">
        <v>600</v>
      </c>
      <c r="K45" s="56" t="s">
        <v>558</v>
      </c>
      <c r="L45" s="56" t="s">
        <v>160</v>
      </c>
      <c r="M45" s="56" t="s">
        <v>699</v>
      </c>
      <c r="N45" s="56" t="s">
        <v>615</v>
      </c>
      <c r="O45" s="50">
        <v>924.61900000000003</v>
      </c>
    </row>
    <row r="46" spans="2:15" ht="14.25" customHeight="1">
      <c r="B46" s="194" t="s">
        <v>695</v>
      </c>
      <c r="C46" s="194" t="s">
        <v>568</v>
      </c>
      <c r="D46" s="194" t="s">
        <v>678</v>
      </c>
      <c r="E46" s="194">
        <v>1120</v>
      </c>
      <c r="K46" s="56" t="s">
        <v>558</v>
      </c>
      <c r="L46" s="56" t="s">
        <v>160</v>
      </c>
      <c r="M46" s="56" t="s">
        <v>703</v>
      </c>
      <c r="N46" s="56" t="s">
        <v>616</v>
      </c>
      <c r="O46" s="50">
        <v>179.48500000000001</v>
      </c>
    </row>
    <row r="47" spans="2:15" ht="14.25" customHeight="1">
      <c r="B47" s="194" t="s">
        <v>696</v>
      </c>
      <c r="C47" s="194" t="s">
        <v>614</v>
      </c>
      <c r="D47" s="194" t="s">
        <v>678</v>
      </c>
      <c r="E47" s="194">
        <v>1240</v>
      </c>
      <c r="K47" s="56" t="s">
        <v>560</v>
      </c>
      <c r="L47" s="56" t="s">
        <v>164</v>
      </c>
      <c r="M47" s="56" t="s">
        <v>694</v>
      </c>
      <c r="N47" s="56" t="s">
        <v>566</v>
      </c>
      <c r="O47" s="56">
        <v>194.85</v>
      </c>
    </row>
    <row r="48" spans="2:15" ht="14.25" customHeight="1">
      <c r="B48" s="194" t="s">
        <v>697</v>
      </c>
      <c r="C48" s="194" t="s">
        <v>573</v>
      </c>
      <c r="D48" s="194" t="s">
        <v>678</v>
      </c>
      <c r="E48" s="194">
        <v>320</v>
      </c>
      <c r="K48" s="56" t="s">
        <v>560</v>
      </c>
      <c r="L48" s="56" t="s">
        <v>164</v>
      </c>
      <c r="M48" s="56" t="s">
        <v>730</v>
      </c>
      <c r="N48" s="56" t="s">
        <v>567</v>
      </c>
      <c r="O48" s="56">
        <v>200</v>
      </c>
    </row>
    <row r="49" spans="2:15" ht="14.25" customHeight="1">
      <c r="B49" s="194" t="s">
        <v>698</v>
      </c>
      <c r="C49" s="194" t="s">
        <v>574</v>
      </c>
      <c r="D49" s="194" t="s">
        <v>678</v>
      </c>
      <c r="E49" s="194">
        <v>400</v>
      </c>
      <c r="K49" s="56" t="s">
        <v>560</v>
      </c>
      <c r="L49" s="56" t="s">
        <v>164</v>
      </c>
      <c r="M49" s="56" t="s">
        <v>731</v>
      </c>
      <c r="N49" s="56" t="s">
        <v>569</v>
      </c>
      <c r="O49" s="56">
        <v>16.37</v>
      </c>
    </row>
    <row r="50" spans="2:15" ht="14.25" customHeight="1">
      <c r="B50" s="194" t="s">
        <v>699</v>
      </c>
      <c r="C50" s="194" t="s">
        <v>615</v>
      </c>
      <c r="D50" s="194" t="s">
        <v>678</v>
      </c>
      <c r="E50" s="194">
        <v>960</v>
      </c>
      <c r="K50" s="56" t="s">
        <v>560</v>
      </c>
      <c r="L50" s="56" t="s">
        <v>164</v>
      </c>
      <c r="M50" s="56" t="s">
        <v>732</v>
      </c>
      <c r="N50" s="56" t="s">
        <v>570</v>
      </c>
      <c r="O50" s="56">
        <v>97.42</v>
      </c>
    </row>
    <row r="51" spans="2:15" ht="14.25" customHeight="1">
      <c r="B51" s="194" t="s">
        <v>700</v>
      </c>
      <c r="C51" s="194" t="s">
        <v>577</v>
      </c>
      <c r="D51" s="194" t="s">
        <v>678</v>
      </c>
      <c r="E51" s="194">
        <v>1640</v>
      </c>
      <c r="K51" s="56" t="s">
        <v>560</v>
      </c>
      <c r="L51" s="56" t="s">
        <v>164</v>
      </c>
      <c r="M51" s="56" t="s">
        <v>700</v>
      </c>
      <c r="N51" s="56" t="s">
        <v>577</v>
      </c>
      <c r="O51" s="56">
        <v>375.38</v>
      </c>
    </row>
    <row r="52" spans="2:15" ht="14.25" customHeight="1">
      <c r="B52" s="194" t="s">
        <v>701</v>
      </c>
      <c r="C52" s="194" t="s">
        <v>579</v>
      </c>
      <c r="D52" s="194" t="s">
        <v>678</v>
      </c>
      <c r="E52" s="194">
        <v>1480</v>
      </c>
      <c r="K52" s="56" t="s">
        <v>560</v>
      </c>
      <c r="L52" s="56" t="s">
        <v>164</v>
      </c>
      <c r="M52" s="56" t="s">
        <v>736</v>
      </c>
      <c r="N52" s="56" t="s">
        <v>578</v>
      </c>
      <c r="O52" s="56">
        <v>55.23</v>
      </c>
    </row>
    <row r="53" spans="2:15" ht="14.25" customHeight="1">
      <c r="B53" s="194" t="s">
        <v>702</v>
      </c>
      <c r="C53" s="194" t="s">
        <v>582</v>
      </c>
      <c r="D53" s="194" t="s">
        <v>678</v>
      </c>
      <c r="E53" s="194">
        <v>800</v>
      </c>
      <c r="K53" s="56" t="s">
        <v>560</v>
      </c>
      <c r="L53" s="56" t="s">
        <v>164</v>
      </c>
      <c r="M53" s="56" t="s">
        <v>739</v>
      </c>
      <c r="N53" s="56" t="s">
        <v>585</v>
      </c>
      <c r="O53" s="56">
        <v>41.33</v>
      </c>
    </row>
    <row r="54" spans="2:15" ht="14.25" customHeight="1">
      <c r="B54" s="194" t="s">
        <v>703</v>
      </c>
      <c r="C54" s="194" t="s">
        <v>616</v>
      </c>
      <c r="D54" s="194" t="s">
        <v>678</v>
      </c>
      <c r="E54" s="194">
        <v>320</v>
      </c>
      <c r="K54" s="56" t="s">
        <v>560</v>
      </c>
      <c r="L54" s="56" t="s">
        <v>164</v>
      </c>
      <c r="M54" s="56" t="s">
        <v>737</v>
      </c>
      <c r="N54" s="56" t="s">
        <v>584</v>
      </c>
      <c r="O54" s="56">
        <v>224.38</v>
      </c>
    </row>
    <row r="55" spans="2:15" ht="14.25" customHeight="1">
      <c r="B55" s="155" t="s">
        <v>719</v>
      </c>
      <c r="C55" s="155" t="s">
        <v>557</v>
      </c>
      <c r="D55" s="155" t="s">
        <v>679</v>
      </c>
      <c r="E55" s="193">
        <v>500</v>
      </c>
      <c r="K55" s="56" t="s">
        <v>562</v>
      </c>
      <c r="L55" s="56" t="s">
        <v>166</v>
      </c>
      <c r="M55" s="56" t="s">
        <v>719</v>
      </c>
      <c r="N55" s="56" t="s">
        <v>557</v>
      </c>
      <c r="O55" s="56">
        <v>55.4</v>
      </c>
    </row>
    <row r="56" spans="2:15" ht="14.25" customHeight="1">
      <c r="C56" s="193"/>
      <c r="D56" s="193"/>
      <c r="E56" s="193"/>
      <c r="K56" s="56" t="s">
        <v>562</v>
      </c>
      <c r="L56" s="56" t="s">
        <v>166</v>
      </c>
      <c r="M56" s="56" t="s">
        <v>734</v>
      </c>
      <c r="N56" s="56" t="s">
        <v>572</v>
      </c>
      <c r="O56" s="56">
        <v>170.45</v>
      </c>
    </row>
    <row r="57" spans="2:15" ht="14.25" customHeight="1">
      <c r="B57" s="193"/>
      <c r="C57" s="193"/>
      <c r="D57" s="193"/>
      <c r="E57" s="193"/>
      <c r="K57" s="56" t="s">
        <v>562</v>
      </c>
      <c r="L57" s="56" t="s">
        <v>166</v>
      </c>
      <c r="M57" s="56" t="s">
        <v>744</v>
      </c>
      <c r="N57" s="56" t="s">
        <v>586</v>
      </c>
      <c r="O57" s="56">
        <v>35.19</v>
      </c>
    </row>
    <row r="58" spans="2:15" ht="14.25" customHeight="1">
      <c r="K58" s="56" t="s">
        <v>562</v>
      </c>
      <c r="L58" s="56" t="s">
        <v>166</v>
      </c>
      <c r="M58" s="56" t="s">
        <v>727</v>
      </c>
      <c r="N58" s="56" t="s">
        <v>565</v>
      </c>
      <c r="O58" s="195">
        <v>47.8</v>
      </c>
    </row>
    <row r="59" spans="2:15" ht="14.25" customHeight="1">
      <c r="K59" s="56" t="s">
        <v>603</v>
      </c>
      <c r="L59" s="56" t="s">
        <v>177</v>
      </c>
      <c r="M59" s="56" t="s">
        <v>716</v>
      </c>
      <c r="N59" s="56" t="s">
        <v>717</v>
      </c>
      <c r="O59" s="50">
        <v>343.09199999999998</v>
      </c>
    </row>
    <row r="60" spans="2:15" ht="14.25" customHeight="1">
      <c r="K60" s="56" t="s">
        <v>700</v>
      </c>
      <c r="L60" s="56" t="s">
        <v>577</v>
      </c>
      <c r="M60" s="56" t="s">
        <v>725</v>
      </c>
      <c r="N60" s="56" t="s">
        <v>563</v>
      </c>
      <c r="O60" s="56">
        <v>49.98</v>
      </c>
    </row>
    <row r="61" spans="2:15" ht="14.25" customHeight="1">
      <c r="K61" s="56" t="s">
        <v>700</v>
      </c>
      <c r="L61" s="56" t="s">
        <v>577</v>
      </c>
      <c r="M61" s="56" t="s">
        <v>746</v>
      </c>
      <c r="N61" s="56" t="s">
        <v>587</v>
      </c>
      <c r="O61" s="56">
        <v>72.180000000000007</v>
      </c>
    </row>
    <row r="62" spans="2:15" ht="14.25" customHeight="1">
      <c r="K62" s="56" t="s">
        <v>700</v>
      </c>
      <c r="L62" s="56" t="s">
        <v>577</v>
      </c>
      <c r="M62" s="56" t="s">
        <v>735</v>
      </c>
      <c r="N62" s="56" t="s">
        <v>575</v>
      </c>
      <c r="O62" s="56">
        <v>138.44999999999999</v>
      </c>
    </row>
    <row r="63" spans="2:15" ht="14.25" customHeight="1">
      <c r="K63" s="56" t="s">
        <v>564</v>
      </c>
      <c r="L63" s="56" t="s">
        <v>168</v>
      </c>
      <c r="M63" s="56" t="s">
        <v>697</v>
      </c>
      <c r="N63" s="56" t="s">
        <v>573</v>
      </c>
      <c r="O63" s="56">
        <v>589.5</v>
      </c>
    </row>
    <row r="64" spans="2:15" ht="14.25" customHeight="1">
      <c r="K64" s="56" t="s">
        <v>564</v>
      </c>
      <c r="L64" s="56" t="s">
        <v>168</v>
      </c>
      <c r="M64" s="56" t="s">
        <v>698</v>
      </c>
      <c r="N64" s="56" t="s">
        <v>574</v>
      </c>
      <c r="O64" s="56">
        <v>406.82</v>
      </c>
    </row>
    <row r="65" spans="11:15" ht="14.25" customHeight="1">
      <c r="K65" s="56" t="s">
        <v>564</v>
      </c>
      <c r="L65" s="56" t="s">
        <v>168</v>
      </c>
      <c r="M65" s="56" t="s">
        <v>740</v>
      </c>
      <c r="N65" s="56" t="s">
        <v>580</v>
      </c>
      <c r="O65" s="56">
        <v>71.72</v>
      </c>
    </row>
    <row r="66" spans="11:15" ht="14.25" customHeight="1">
      <c r="K66" s="56" t="s">
        <v>564</v>
      </c>
      <c r="L66" s="56" t="s">
        <v>168</v>
      </c>
      <c r="M66" s="56" t="s">
        <v>702</v>
      </c>
      <c r="N66" s="56" t="s">
        <v>582</v>
      </c>
      <c r="O66" s="56">
        <v>206.67</v>
      </c>
    </row>
    <row r="67" spans="11:15" ht="14.25" customHeight="1">
      <c r="K67" s="56" t="s">
        <v>701</v>
      </c>
      <c r="L67" s="56" t="s">
        <v>579</v>
      </c>
      <c r="M67" s="56" t="s">
        <v>722</v>
      </c>
      <c r="N67" s="56" t="s">
        <v>559</v>
      </c>
      <c r="O67" s="56">
        <v>62.41</v>
      </c>
    </row>
    <row r="68" spans="11:15" ht="14.25" customHeight="1">
      <c r="K68" s="56" t="s">
        <v>701</v>
      </c>
      <c r="L68" s="56" t="s">
        <v>579</v>
      </c>
      <c r="M68" s="56" t="s">
        <v>741</v>
      </c>
      <c r="N68" s="56" t="s">
        <v>581</v>
      </c>
      <c r="O68" s="56">
        <v>103.54</v>
      </c>
    </row>
    <row r="69" spans="11:15" ht="14.25" customHeight="1">
      <c r="K69" s="56" t="s">
        <v>701</v>
      </c>
      <c r="L69" s="56" t="s">
        <v>579</v>
      </c>
      <c r="M69" s="56" t="s">
        <v>742</v>
      </c>
      <c r="N69" s="56" t="s">
        <v>583</v>
      </c>
      <c r="O69" s="56">
        <v>80.400000000000006</v>
      </c>
    </row>
    <row r="70" spans="11:15" ht="14.25" customHeight="1">
      <c r="K70" s="56" t="s">
        <v>605</v>
      </c>
      <c r="L70" s="56" t="s">
        <v>179</v>
      </c>
      <c r="M70" s="56" t="s">
        <v>743</v>
      </c>
      <c r="N70" s="56" t="s">
        <v>611</v>
      </c>
      <c r="O70" s="56">
        <v>151</v>
      </c>
    </row>
    <row r="71" spans="11:15" ht="14.25" customHeight="1">
      <c r="K71" s="56" t="s">
        <v>605</v>
      </c>
      <c r="L71" s="56" t="s">
        <v>179</v>
      </c>
      <c r="M71" s="195" t="s">
        <v>733</v>
      </c>
      <c r="N71" s="56" t="s">
        <v>597</v>
      </c>
      <c r="O71" s="195">
        <v>352.4</v>
      </c>
    </row>
    <row r="72" spans="11:15" ht="14.25" customHeight="1">
      <c r="K72" s="56" t="s">
        <v>605</v>
      </c>
      <c r="L72" s="56" t="s">
        <v>179</v>
      </c>
      <c r="M72" s="195" t="s">
        <v>745</v>
      </c>
      <c r="N72" s="56" t="s">
        <v>608</v>
      </c>
      <c r="O72" s="195">
        <v>321</v>
      </c>
    </row>
    <row r="73" spans="11:15" ht="14.25" customHeight="1">
      <c r="K73" s="56" t="s">
        <v>607</v>
      </c>
      <c r="L73" s="56" t="s">
        <v>182</v>
      </c>
      <c r="M73" s="56" t="s">
        <v>738</v>
      </c>
      <c r="N73" s="56" t="s">
        <v>600</v>
      </c>
      <c r="O73" s="50">
        <v>212.077</v>
      </c>
    </row>
    <row r="74" spans="11:15" ht="14.25" customHeight="1">
      <c r="K74" s="56" t="s">
        <v>562</v>
      </c>
      <c r="L74" s="56" t="s">
        <v>166</v>
      </c>
      <c r="M74" s="56" t="s">
        <v>695</v>
      </c>
      <c r="N74" s="56" t="s">
        <v>568</v>
      </c>
      <c r="O74" s="56">
        <v>397</v>
      </c>
    </row>
    <row r="75" spans="11:15" ht="14.25" customHeight="1">
      <c r="K75" s="56" t="s">
        <v>560</v>
      </c>
      <c r="L75" s="56" t="s">
        <v>164</v>
      </c>
      <c r="M75" s="56" t="s">
        <v>701</v>
      </c>
      <c r="N75" s="56" t="s">
        <v>579</v>
      </c>
      <c r="O75" s="56">
        <v>162.63999999999999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58"/>
  <sheetViews>
    <sheetView zoomScaleNormal="100" workbookViewId="0">
      <selection activeCell="B5" sqref="B5"/>
    </sheetView>
  </sheetViews>
  <sheetFormatPr defaultColWidth="12.6328125" defaultRowHeight="12.5"/>
  <cols>
    <col min="4" max="4" width="18" customWidth="1"/>
    <col min="5" max="5" width="21.36328125" customWidth="1"/>
    <col min="6" max="6" width="17.90625" customWidth="1"/>
  </cols>
  <sheetData>
    <row r="1" spans="1:10" ht="15.75" customHeight="1">
      <c r="A1" s="47" t="s">
        <v>852</v>
      </c>
      <c r="B1" s="47" t="s">
        <v>752</v>
      </c>
      <c r="C1" s="47" t="s">
        <v>747</v>
      </c>
      <c r="D1" s="47" t="s">
        <v>853</v>
      </c>
      <c r="E1" s="47" t="s">
        <v>854</v>
      </c>
      <c r="F1" s="47" t="s">
        <v>855</v>
      </c>
      <c r="G1" s="47" t="s">
        <v>856</v>
      </c>
      <c r="H1" s="47" t="s">
        <v>771</v>
      </c>
    </row>
    <row r="2" spans="1:10" ht="15.75" customHeight="1">
      <c r="A2" s="47">
        <v>18</v>
      </c>
      <c r="B2" s="157" t="s">
        <v>158</v>
      </c>
      <c r="C2" s="159">
        <v>28496</v>
      </c>
      <c r="D2" s="196">
        <f t="shared" ref="D2:D28" si="0">C2/A2</f>
        <v>1583.1111111111111</v>
      </c>
      <c r="E2" s="196">
        <f t="shared" ref="E2:E28" si="1">D2  * 2</f>
        <v>3166.2222222222222</v>
      </c>
      <c r="F2" s="196">
        <f t="shared" ref="F2:F28" si="2">8*60</f>
        <v>480</v>
      </c>
      <c r="G2" s="196">
        <f t="shared" ref="G2:G28" si="3">ROUNDUP(E2/F2,0)</f>
        <v>7</v>
      </c>
      <c r="H2" s="196">
        <f>G2*'Biaya Driver'!F5</f>
        <v>26570762.609999999</v>
      </c>
      <c r="J2" s="47" t="s">
        <v>857</v>
      </c>
    </row>
    <row r="3" spans="1:10" ht="15.75" customHeight="1">
      <c r="A3" s="47">
        <v>7</v>
      </c>
      <c r="B3" s="157" t="s">
        <v>162</v>
      </c>
      <c r="C3" s="159">
        <v>14736</v>
      </c>
      <c r="D3" s="196">
        <f t="shared" si="0"/>
        <v>2105.1428571428573</v>
      </c>
      <c r="E3" s="196">
        <f t="shared" si="1"/>
        <v>4210.2857142857147</v>
      </c>
      <c r="F3" s="196">
        <f t="shared" si="2"/>
        <v>480</v>
      </c>
      <c r="G3" s="196">
        <f t="shared" si="3"/>
        <v>9</v>
      </c>
      <c r="H3" s="196">
        <f>G3*'Biaya Driver'!F50</f>
        <v>32392532.25</v>
      </c>
    </row>
    <row r="4" spans="1:10" ht="15.75" customHeight="1">
      <c r="A4" s="47">
        <v>24</v>
      </c>
      <c r="B4" s="155" t="s">
        <v>160</v>
      </c>
      <c r="C4" s="47">
        <v>37767</v>
      </c>
      <c r="D4" s="196">
        <f t="shared" si="0"/>
        <v>1573.625</v>
      </c>
      <c r="E4" s="196">
        <f t="shared" si="1"/>
        <v>3147.25</v>
      </c>
      <c r="F4" s="196">
        <f t="shared" si="2"/>
        <v>480</v>
      </c>
      <c r="G4" s="196">
        <f t="shared" si="3"/>
        <v>7</v>
      </c>
      <c r="H4" s="196">
        <f>G4*'Biaya Driver'!F6</f>
        <v>26570762.609999999</v>
      </c>
    </row>
    <row r="5" spans="1:10" ht="15.75" customHeight="1">
      <c r="A5" s="47">
        <v>27</v>
      </c>
      <c r="B5" s="157" t="s">
        <v>164</v>
      </c>
      <c r="C5" s="47">
        <v>62670</v>
      </c>
      <c r="D5" s="196">
        <f t="shared" si="0"/>
        <v>2321.1111111111113</v>
      </c>
      <c r="E5" s="196">
        <f t="shared" si="1"/>
        <v>4642.2222222222226</v>
      </c>
      <c r="F5" s="196">
        <f t="shared" si="2"/>
        <v>480</v>
      </c>
      <c r="G5" s="196">
        <f t="shared" si="3"/>
        <v>10</v>
      </c>
      <c r="H5" s="196">
        <f>G5*'Biaya Driver'!F51</f>
        <v>42320239</v>
      </c>
    </row>
    <row r="6" spans="1:10" ht="15.75" customHeight="1">
      <c r="A6" s="47">
        <v>11</v>
      </c>
      <c r="B6" s="157" t="s">
        <v>166</v>
      </c>
      <c r="C6" s="47">
        <v>25418</v>
      </c>
      <c r="D6" s="196">
        <f t="shared" si="0"/>
        <v>2310.7272727272725</v>
      </c>
      <c r="E6" s="196">
        <f t="shared" si="1"/>
        <v>4621.454545454545</v>
      </c>
      <c r="F6" s="196">
        <f t="shared" si="2"/>
        <v>480</v>
      </c>
      <c r="G6" s="196">
        <f t="shared" si="3"/>
        <v>10</v>
      </c>
      <c r="H6" s="196">
        <f>G6*'Biaya Driver'!F52</f>
        <v>43904445</v>
      </c>
    </row>
    <row r="7" spans="1:10" ht="15.75" customHeight="1">
      <c r="A7" s="47">
        <v>10</v>
      </c>
      <c r="B7" s="157" t="s">
        <v>168</v>
      </c>
      <c r="C7" s="47">
        <v>23275</v>
      </c>
      <c r="D7" s="196">
        <f t="shared" si="0"/>
        <v>2327.5</v>
      </c>
      <c r="E7" s="196">
        <f t="shared" si="1"/>
        <v>4655</v>
      </c>
      <c r="F7" s="196">
        <f t="shared" si="2"/>
        <v>480</v>
      </c>
      <c r="G7" s="196">
        <f t="shared" si="3"/>
        <v>10</v>
      </c>
      <c r="H7" s="196">
        <f>G7*'Biaya Driver'!F53</f>
        <v>34754076.800000004</v>
      </c>
    </row>
    <row r="8" spans="1:10" ht="15.75" customHeight="1">
      <c r="A8" s="47">
        <v>9</v>
      </c>
      <c r="B8" s="157" t="s">
        <v>170</v>
      </c>
      <c r="C8" s="47">
        <v>21193</v>
      </c>
      <c r="D8" s="196">
        <f t="shared" si="0"/>
        <v>2354.7777777777778</v>
      </c>
      <c r="E8" s="196">
        <f t="shared" si="1"/>
        <v>4709.5555555555557</v>
      </c>
      <c r="F8" s="196">
        <f t="shared" si="2"/>
        <v>480</v>
      </c>
      <c r="G8" s="196">
        <f t="shared" si="3"/>
        <v>10</v>
      </c>
      <c r="H8" s="196">
        <f>G8*'Biaya Driver'!F21</f>
        <v>35070710</v>
      </c>
    </row>
    <row r="9" spans="1:10" ht="15.75" customHeight="1">
      <c r="A9" s="47">
        <v>20</v>
      </c>
      <c r="B9" s="157" t="s">
        <v>172</v>
      </c>
      <c r="C9" s="47">
        <v>47169</v>
      </c>
      <c r="D9" s="196">
        <f t="shared" si="0"/>
        <v>2358.4499999999998</v>
      </c>
      <c r="E9" s="196">
        <f t="shared" si="1"/>
        <v>4716.8999999999996</v>
      </c>
      <c r="F9" s="196">
        <f t="shared" si="2"/>
        <v>480</v>
      </c>
      <c r="G9" s="196">
        <f t="shared" si="3"/>
        <v>10</v>
      </c>
      <c r="H9" s="196">
        <f>G9*'Biaya Driver'!F22</f>
        <v>32154437</v>
      </c>
    </row>
    <row r="10" spans="1:10" ht="15.75" customHeight="1">
      <c r="A10" s="47">
        <v>3</v>
      </c>
      <c r="B10" s="157" t="s">
        <v>174</v>
      </c>
      <c r="C10" s="47">
        <v>2879</v>
      </c>
      <c r="D10" s="196">
        <f t="shared" si="0"/>
        <v>959.66666666666663</v>
      </c>
      <c r="E10" s="196">
        <f t="shared" si="1"/>
        <v>1919.3333333333333</v>
      </c>
      <c r="F10" s="196">
        <f t="shared" si="2"/>
        <v>480</v>
      </c>
      <c r="G10" s="196">
        <f t="shared" si="3"/>
        <v>4</v>
      </c>
      <c r="H10" s="196">
        <f>G10*'Biaya Driver'!F23</f>
        <v>15319056.92</v>
      </c>
    </row>
    <row r="11" spans="1:10" ht="15.75" customHeight="1">
      <c r="A11" s="47">
        <v>3</v>
      </c>
      <c r="B11" s="157" t="s">
        <v>175</v>
      </c>
      <c r="C11" s="47">
        <v>3340</v>
      </c>
      <c r="D11" s="196">
        <f t="shared" si="0"/>
        <v>1113.3333333333333</v>
      </c>
      <c r="E11" s="196">
        <f t="shared" si="1"/>
        <v>2226.6666666666665</v>
      </c>
      <c r="F11" s="196">
        <f t="shared" si="2"/>
        <v>480</v>
      </c>
      <c r="G11" s="196">
        <f t="shared" si="3"/>
        <v>5</v>
      </c>
      <c r="H11" s="196">
        <f>G11*'Biaya Driver'!F24</f>
        <v>16077218.5</v>
      </c>
    </row>
    <row r="12" spans="1:10" ht="15.75" customHeight="1">
      <c r="A12" s="47">
        <v>4</v>
      </c>
      <c r="B12" s="157" t="s">
        <v>177</v>
      </c>
      <c r="C12" s="47">
        <v>9255</v>
      </c>
      <c r="D12" s="196">
        <f t="shared" si="0"/>
        <v>2313.75</v>
      </c>
      <c r="E12" s="196">
        <f t="shared" si="1"/>
        <v>4627.5</v>
      </c>
      <c r="F12" s="196">
        <f t="shared" si="2"/>
        <v>480</v>
      </c>
      <c r="G12" s="196">
        <f t="shared" si="3"/>
        <v>10</v>
      </c>
      <c r="H12" s="196">
        <f>G12*'Biaya Driver'!F25</f>
        <v>32322030</v>
      </c>
    </row>
    <row r="13" spans="1:10" ht="15.75" customHeight="1">
      <c r="A13" s="47">
        <v>8</v>
      </c>
      <c r="B13" s="157" t="s">
        <v>179</v>
      </c>
      <c r="C13" s="47">
        <v>18499</v>
      </c>
      <c r="D13" s="196">
        <f t="shared" si="0"/>
        <v>2312.375</v>
      </c>
      <c r="E13" s="196">
        <f t="shared" si="1"/>
        <v>4624.75</v>
      </c>
      <c r="F13" s="196">
        <f t="shared" si="2"/>
        <v>480</v>
      </c>
      <c r="G13" s="196">
        <f t="shared" si="3"/>
        <v>10</v>
      </c>
      <c r="H13" s="196">
        <f>G13*'Biaya Driver'!F26</f>
        <v>32154437</v>
      </c>
    </row>
    <row r="14" spans="1:10" ht="15.75" customHeight="1">
      <c r="A14" s="47">
        <v>10</v>
      </c>
      <c r="B14" s="157" t="s">
        <v>181</v>
      </c>
      <c r="C14" s="47">
        <v>11295</v>
      </c>
      <c r="D14" s="196">
        <f t="shared" si="0"/>
        <v>1129.5</v>
      </c>
      <c r="E14" s="196">
        <f t="shared" si="1"/>
        <v>2259</v>
      </c>
      <c r="F14" s="196">
        <f t="shared" si="2"/>
        <v>480</v>
      </c>
      <c r="G14" s="196">
        <f t="shared" si="3"/>
        <v>5</v>
      </c>
      <c r="H14" s="196">
        <f>G14*'Biaya Driver'!F27</f>
        <v>17776635</v>
      </c>
    </row>
    <row r="15" spans="1:10" ht="15.75" customHeight="1">
      <c r="A15" s="47">
        <v>5</v>
      </c>
      <c r="B15" s="157" t="s">
        <v>182</v>
      </c>
      <c r="C15" s="47">
        <v>10601</v>
      </c>
      <c r="D15" s="196">
        <f t="shared" si="0"/>
        <v>2120.1999999999998</v>
      </c>
      <c r="E15" s="196">
        <f t="shared" si="1"/>
        <v>4240.3999999999996</v>
      </c>
      <c r="F15" s="196">
        <f t="shared" si="2"/>
        <v>480</v>
      </c>
      <c r="G15" s="196">
        <f t="shared" si="3"/>
        <v>9</v>
      </c>
      <c r="H15" s="196">
        <f>G15*'Biaya Driver'!F28</f>
        <v>29154897</v>
      </c>
    </row>
    <row r="16" spans="1:10" ht="15.75" customHeight="1">
      <c r="A16" s="47">
        <v>6</v>
      </c>
      <c r="B16" s="155" t="s">
        <v>184</v>
      </c>
      <c r="C16" s="47">
        <v>12523</v>
      </c>
      <c r="D16" s="196">
        <f t="shared" si="0"/>
        <v>2087.1666666666665</v>
      </c>
      <c r="E16" s="196">
        <f t="shared" si="1"/>
        <v>4174.333333333333</v>
      </c>
      <c r="F16" s="196">
        <f t="shared" si="2"/>
        <v>480</v>
      </c>
      <c r="G16" s="196">
        <f t="shared" si="3"/>
        <v>9</v>
      </c>
      <c r="H16" s="196">
        <f>G16*'Biaya Driver'!F29</f>
        <v>38627739</v>
      </c>
    </row>
    <row r="17" spans="1:8" ht="15.75" customHeight="1">
      <c r="A17" s="47">
        <v>14</v>
      </c>
      <c r="B17" s="155" t="s">
        <v>561</v>
      </c>
      <c r="C17" s="50">
        <v>2724</v>
      </c>
      <c r="D17" s="196">
        <f t="shared" si="0"/>
        <v>194.57142857142858</v>
      </c>
      <c r="E17" s="196">
        <f t="shared" si="1"/>
        <v>389.14285714285717</v>
      </c>
      <c r="F17" s="196">
        <f t="shared" si="2"/>
        <v>480</v>
      </c>
      <c r="G17" s="196">
        <f t="shared" si="3"/>
        <v>1</v>
      </c>
      <c r="H17" s="196">
        <f>G17*'Biaya Driver'!G54</f>
        <v>47333333.329999998</v>
      </c>
    </row>
    <row r="18" spans="1:8" ht="15.75" customHeight="1">
      <c r="A18" s="47">
        <v>29</v>
      </c>
      <c r="B18" s="155" t="s">
        <v>613</v>
      </c>
      <c r="C18" s="50">
        <v>5783</v>
      </c>
      <c r="D18" s="196">
        <f t="shared" si="0"/>
        <v>199.41379310344828</v>
      </c>
      <c r="E18" s="196">
        <f t="shared" si="1"/>
        <v>398.82758620689657</v>
      </c>
      <c r="F18" s="196">
        <f t="shared" si="2"/>
        <v>480</v>
      </c>
      <c r="G18" s="196">
        <f t="shared" si="3"/>
        <v>1</v>
      </c>
      <c r="H18" s="196">
        <f>G18*'Biaya Driver'!F7</f>
        <v>3795823.23</v>
      </c>
    </row>
    <row r="19" spans="1:8" ht="15.75" customHeight="1">
      <c r="A19" s="47">
        <v>15</v>
      </c>
      <c r="B19" s="155" t="s">
        <v>566</v>
      </c>
      <c r="C19" s="50">
        <v>2871</v>
      </c>
      <c r="D19" s="196">
        <f t="shared" si="0"/>
        <v>191.4</v>
      </c>
      <c r="E19" s="196">
        <f t="shared" si="1"/>
        <v>382.8</v>
      </c>
      <c r="F19" s="196">
        <f t="shared" si="2"/>
        <v>480</v>
      </c>
      <c r="G19" s="196">
        <f t="shared" si="3"/>
        <v>1</v>
      </c>
      <c r="H19" s="196">
        <f>G19*'Biaya Driver'!F55</f>
        <v>4115638.8</v>
      </c>
    </row>
    <row r="20" spans="1:8" ht="15.75" customHeight="1">
      <c r="A20" s="47">
        <v>41</v>
      </c>
      <c r="B20" s="155" t="s">
        <v>568</v>
      </c>
      <c r="C20" s="47">
        <v>10689</v>
      </c>
      <c r="D20" s="196">
        <f t="shared" si="0"/>
        <v>260.70731707317071</v>
      </c>
      <c r="E20" s="196">
        <f t="shared" si="1"/>
        <v>521.41463414634143</v>
      </c>
      <c r="F20" s="196">
        <f t="shared" si="2"/>
        <v>480</v>
      </c>
      <c r="G20" s="196">
        <f t="shared" si="3"/>
        <v>2</v>
      </c>
      <c r="H20" s="196">
        <f>G20*'Biaya Driver'!F56</f>
        <v>7250947.5999999996</v>
      </c>
    </row>
    <row r="21" spans="1:8" ht="15.75" customHeight="1">
      <c r="A21" s="47">
        <v>43</v>
      </c>
      <c r="B21" s="155" t="s">
        <v>614</v>
      </c>
      <c r="C21" s="50">
        <v>8540</v>
      </c>
      <c r="D21" s="196">
        <f t="shared" si="0"/>
        <v>198.6046511627907</v>
      </c>
      <c r="E21" s="196">
        <f t="shared" si="1"/>
        <v>397.2093023255814</v>
      </c>
      <c r="F21" s="196">
        <f t="shared" si="2"/>
        <v>480</v>
      </c>
      <c r="G21" s="196">
        <f t="shared" si="3"/>
        <v>1</v>
      </c>
      <c r="H21" s="196">
        <f>G21*'Biaya Driver'!F8</f>
        <v>3795823.23</v>
      </c>
    </row>
    <row r="22" spans="1:8" ht="15.75" customHeight="1">
      <c r="A22" s="47">
        <v>49</v>
      </c>
      <c r="B22" s="155" t="s">
        <v>573</v>
      </c>
      <c r="C22" s="50">
        <v>9643</v>
      </c>
      <c r="D22" s="196">
        <f t="shared" si="0"/>
        <v>196.79591836734693</v>
      </c>
      <c r="E22" s="196">
        <f t="shared" si="1"/>
        <v>393.59183673469386</v>
      </c>
      <c r="F22" s="196">
        <f t="shared" si="2"/>
        <v>480</v>
      </c>
      <c r="G22" s="196">
        <f t="shared" si="3"/>
        <v>1</v>
      </c>
      <c r="H22" s="196">
        <f>G22*'Biaya Driver'!F57</f>
        <v>3795823.23</v>
      </c>
    </row>
    <row r="23" spans="1:8" ht="15.75" customHeight="1">
      <c r="A23" s="47">
        <v>15</v>
      </c>
      <c r="B23" s="155" t="s">
        <v>574</v>
      </c>
      <c r="C23" s="50">
        <v>2902</v>
      </c>
      <c r="D23" s="196">
        <f t="shared" si="0"/>
        <v>193.46666666666667</v>
      </c>
      <c r="E23" s="196">
        <f t="shared" si="1"/>
        <v>386.93333333333334</v>
      </c>
      <c r="F23" s="196">
        <f t="shared" si="2"/>
        <v>480</v>
      </c>
      <c r="G23" s="196">
        <f t="shared" si="3"/>
        <v>1</v>
      </c>
      <c r="H23" s="196">
        <f>G23*'Biaya Driver'!F58</f>
        <v>3512145.95</v>
      </c>
    </row>
    <row r="24" spans="1:8" ht="15.75" customHeight="1">
      <c r="A24" s="47">
        <v>14</v>
      </c>
      <c r="B24" s="155" t="s">
        <v>615</v>
      </c>
      <c r="C24" s="50">
        <v>2709</v>
      </c>
      <c r="D24" s="196">
        <f t="shared" si="0"/>
        <v>193.5</v>
      </c>
      <c r="E24" s="196">
        <f t="shared" si="1"/>
        <v>387</v>
      </c>
      <c r="F24" s="196">
        <f t="shared" si="2"/>
        <v>480</v>
      </c>
      <c r="G24" s="196">
        <f t="shared" si="3"/>
        <v>1</v>
      </c>
      <c r="H24" s="196">
        <f>G24*'Biaya Driver'!F9</f>
        <v>3795823.23</v>
      </c>
    </row>
    <row r="25" spans="1:8" ht="15.75" customHeight="1">
      <c r="A25" s="47">
        <v>17</v>
      </c>
      <c r="B25" s="155" t="s">
        <v>577</v>
      </c>
      <c r="C25" s="47">
        <v>13393</v>
      </c>
      <c r="D25" s="196">
        <f t="shared" si="0"/>
        <v>787.82352941176475</v>
      </c>
      <c r="E25" s="196">
        <f t="shared" si="1"/>
        <v>1575.6470588235295</v>
      </c>
      <c r="F25" s="196">
        <f t="shared" si="2"/>
        <v>480</v>
      </c>
      <c r="G25" s="196">
        <f t="shared" si="3"/>
        <v>4</v>
      </c>
      <c r="H25" s="196">
        <f>G25*'Biaya Driver'!F59</f>
        <v>16462555.199999999</v>
      </c>
    </row>
    <row r="26" spans="1:8" ht="15.75" customHeight="1">
      <c r="A26" s="47">
        <v>19</v>
      </c>
      <c r="B26" s="155" t="s">
        <v>579</v>
      </c>
      <c r="C26" s="47">
        <v>13252</v>
      </c>
      <c r="D26" s="196">
        <f t="shared" si="0"/>
        <v>697.47368421052636</v>
      </c>
      <c r="E26" s="196">
        <f t="shared" si="1"/>
        <v>1394.9473684210527</v>
      </c>
      <c r="F26" s="196">
        <f t="shared" si="2"/>
        <v>480</v>
      </c>
      <c r="G26" s="196">
        <f t="shared" si="3"/>
        <v>3</v>
      </c>
      <c r="H26" s="196">
        <f>G26*'Biaya Driver'!F60</f>
        <v>12346916.399999999</v>
      </c>
    </row>
    <row r="27" spans="1:8" ht="15.75" customHeight="1">
      <c r="A27" s="47">
        <v>11</v>
      </c>
      <c r="B27" s="155" t="s">
        <v>582</v>
      </c>
      <c r="C27" s="50">
        <v>2016</v>
      </c>
      <c r="D27" s="196">
        <f t="shared" si="0"/>
        <v>183.27272727272728</v>
      </c>
      <c r="E27" s="196">
        <f t="shared" si="1"/>
        <v>366.54545454545456</v>
      </c>
      <c r="F27" s="196">
        <f t="shared" si="2"/>
        <v>480</v>
      </c>
      <c r="G27" s="196">
        <f t="shared" si="3"/>
        <v>1</v>
      </c>
      <c r="H27" s="196">
        <f>G27*'Biaya Driver'!F61</f>
        <v>3254854.2</v>
      </c>
    </row>
    <row r="28" spans="1:8" ht="15.75" customHeight="1">
      <c r="A28" s="47">
        <v>15</v>
      </c>
      <c r="B28" s="155" t="s">
        <v>616</v>
      </c>
      <c r="C28" s="50">
        <v>3519</v>
      </c>
      <c r="D28" s="196">
        <f t="shared" si="0"/>
        <v>234.6</v>
      </c>
      <c r="E28" s="196">
        <f t="shared" si="1"/>
        <v>469.2</v>
      </c>
      <c r="F28" s="196">
        <f t="shared" si="2"/>
        <v>480</v>
      </c>
      <c r="G28" s="196">
        <f t="shared" si="3"/>
        <v>1</v>
      </c>
      <c r="H28" s="196">
        <f>G28*'Biaya Driver'!F10</f>
        <v>3795823.23</v>
      </c>
    </row>
    <row r="29" spans="1:8" ht="15.75" customHeight="1">
      <c r="B29" s="197"/>
      <c r="C29" s="156"/>
      <c r="D29" s="196"/>
      <c r="E29" s="196"/>
      <c r="F29" s="196"/>
      <c r="G29" s="196">
        <f>SUM(G2:G28)</f>
        <v>143</v>
      </c>
      <c r="H29" s="196">
        <f>SUM(H2:H28)</f>
        <v>568425486.32000017</v>
      </c>
    </row>
    <row r="30" spans="1:8" ht="15.75" customHeight="1">
      <c r="C30" s="156"/>
    </row>
    <row r="31" spans="1:8" ht="15.75" customHeight="1">
      <c r="C31" s="156"/>
    </row>
    <row r="32" spans="1:8" ht="15.75" customHeight="1">
      <c r="C32" s="198"/>
    </row>
    <row r="33" spans="3:3" ht="15.75" customHeight="1">
      <c r="C33" s="199"/>
    </row>
    <row r="37" spans="3:3" ht="12" customHeight="1">
      <c r="C37" s="47"/>
    </row>
    <row r="40" spans="3:3" ht="12" customHeight="1">
      <c r="C40" s="47"/>
    </row>
    <row r="42" spans="3:3" ht="12" customHeight="1">
      <c r="C42" s="47"/>
    </row>
    <row r="45" spans="3:3" ht="12" customHeight="1">
      <c r="C45" s="47"/>
    </row>
    <row r="46" spans="3:3" ht="12" customHeight="1">
      <c r="C46" s="47"/>
    </row>
    <row r="47" spans="3:3" ht="14.25" customHeight="1">
      <c r="C47" s="50"/>
    </row>
    <row r="48" spans="3:3" ht="14.25" customHeight="1">
      <c r="C48" s="50"/>
    </row>
    <row r="49" spans="3:3" ht="14.25" customHeight="1">
      <c r="C49" s="50"/>
    </row>
    <row r="51" spans="3:3" ht="14.25" customHeight="1">
      <c r="C51" s="50"/>
    </row>
    <row r="52" spans="3:3" ht="14.25" customHeight="1">
      <c r="C52" s="50"/>
    </row>
    <row r="53" spans="3:3" ht="14.25" customHeight="1">
      <c r="C53" s="50"/>
    </row>
    <row r="54" spans="3:3" ht="14.25" customHeight="1">
      <c r="C54" s="50"/>
    </row>
    <row r="57" spans="3:3" ht="14.25" customHeight="1">
      <c r="C57" s="50"/>
    </row>
    <row r="58" spans="3:3" ht="14.25" customHeight="1">
      <c r="C58" s="50"/>
    </row>
  </sheetData>
  <conditionalFormatting sqref="J1:J3 C1:C33 J16:J24 J26:J28 C47:C49 C51:C54 C57:C58">
    <cfRule type="expression" priority="2">
      <formula>roundup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</vt:i4>
      </vt:variant>
    </vt:vector>
  </HeadingPairs>
  <TitlesOfParts>
    <vt:vector size="28" baseType="lpstr">
      <vt:lpstr>⚙️ Parameter Global</vt:lpstr>
      <vt:lpstr>📘 Model Matematis</vt:lpstr>
      <vt:lpstr>✅ Verifikasi vs Gurobi</vt:lpstr>
      <vt:lpstr>Penjelasan Gurobi (Kode)</vt:lpstr>
      <vt:lpstr>🐍 Kode First Mile</vt:lpstr>
      <vt:lpstr>🐍 Kode Middle Mile</vt:lpstr>
      <vt:lpstr>Volume Container</vt:lpstr>
      <vt:lpstr>Sulawesi</vt:lpstr>
      <vt:lpstr>Kalimantan</vt:lpstr>
      <vt:lpstr>BaliNusra</vt:lpstr>
      <vt:lpstr>Rate T&amp;W</vt:lpstr>
      <vt:lpstr>Total Biaya First Mile</vt:lpstr>
      <vt:lpstr>Biaya Variable KendaraanTrip ti</vt:lpstr>
      <vt:lpstr>Biaya Penambahan Vehicle</vt:lpstr>
      <vt:lpstr>Jumlah Trip Maksimal</vt:lpstr>
      <vt:lpstr>(SRP Usulan) Jarak Tempuh Middl</vt:lpstr>
      <vt:lpstr>(agoy fadli) Total Permintaan M</vt:lpstr>
      <vt:lpstr>Total Pengiriman</vt:lpstr>
      <vt:lpstr>Total Biaya Middle Mile</vt:lpstr>
      <vt:lpstr>Biaya Driver</vt:lpstr>
      <vt:lpstr>Kapasitas Inventori(ini rada su</vt:lpstr>
      <vt:lpstr>Biaya Staff</vt:lpstr>
      <vt:lpstr>Harga_Biosolar</vt:lpstr>
      <vt:lpstr>Harga_Pertalite</vt:lpstr>
      <vt:lpstr>HariKerja_PerBulan</vt:lpstr>
      <vt:lpstr>JamKerja_PerBulan</vt:lpstr>
      <vt:lpstr>JamKerja_PerHari</vt:lpstr>
      <vt:lpstr>Kecepatan_Kendaraan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Yasin Nurfadllilah</cp:lastModifiedBy>
  <cp:revision>0</cp:revision>
  <dcterms:created xsi:type="dcterms:W3CDTF">2026-05-17T17:49:36Z</dcterms:created>
  <dcterms:modified xsi:type="dcterms:W3CDTF">2026-05-18T18:34:21Z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ActionId">
    <vt:lpwstr>7da101ba-3f2d-4491-b307-6d8433e17b1a</vt:lpwstr>
  </property>
  <property fmtid="{D5CDD505-2E9C-101B-9397-08002B2CF9AE}" pid="3" name="MSIP_Label_38b525e5-f3da-4501-8f1e-526b6769fc56_ContentBits">
    <vt:lpwstr>0</vt:lpwstr>
  </property>
  <property fmtid="{D5CDD505-2E9C-101B-9397-08002B2CF9AE}" pid="4" name="MSIP_Label_38b525e5-f3da-4501-8f1e-526b6769fc56_Enabled">
    <vt:lpwstr>true</vt:lpwstr>
  </property>
  <property fmtid="{D5CDD505-2E9C-101B-9397-08002B2CF9AE}" pid="5" name="MSIP_Label_38b525e5-f3da-4501-8f1e-526b6769fc56_Method">
    <vt:lpwstr>Standard</vt:lpwstr>
  </property>
  <property fmtid="{D5CDD505-2E9C-101B-9397-08002B2CF9AE}" pid="6" name="MSIP_Label_38b525e5-f3da-4501-8f1e-526b6769fc56_Name">
    <vt:lpwstr>defa4170-0d19-0005-0004-bc88714345d2</vt:lpwstr>
  </property>
  <property fmtid="{D5CDD505-2E9C-101B-9397-08002B2CF9AE}" pid="7" name="MSIP_Label_38b525e5-f3da-4501-8f1e-526b6769fc56_SetDate">
    <vt:lpwstr>2026-05-08T19:37:01Z</vt:lpwstr>
  </property>
  <property fmtid="{D5CDD505-2E9C-101B-9397-08002B2CF9AE}" pid="8" name="MSIP_Label_38b525e5-f3da-4501-8f1e-526b6769fc56_SiteId">
    <vt:lpwstr>db6e1183-4c65-405c-82ce-7cd53fa6e9dc</vt:lpwstr>
  </property>
  <property fmtid="{D5CDD505-2E9C-101B-9397-08002B2CF9AE}" pid="9" name="MSIP_Label_38b525e5-f3da-4501-8f1e-526b6769fc56_Tag">
    <vt:lpwstr>10, 3, 0, 1</vt:lpwstr>
  </property>
</Properties>
</file>